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CC11E66-002E-48E8-8213-CDE669EC5D5F}" xr6:coauthVersionLast="47" xr6:coauthVersionMax="47" xr10:uidLastSave="{00000000-0000-0000-0000-000000000000}"/>
  <bookViews>
    <workbookView xWindow="-110" yWindow="-110" windowWidth="19420" windowHeight="10420" activeTab="2" xr2:uid="{80A0AB56-A4AF-46FC-92C4-A72C539C942A}"/>
  </bookViews>
  <sheets>
    <sheet name="TASK" sheetId="3" r:id="rId1"/>
    <sheet name="Sheet1" sheetId="6" r:id="rId2"/>
    <sheet name="Sheet3" sheetId="8" r:id="rId3"/>
    <sheet name="NOT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88" i="5" l="1"/>
  <c r="B89" i="5"/>
  <c r="B90" i="5"/>
  <c r="B91" i="5"/>
  <c r="B92" i="5"/>
  <c r="B93" i="5"/>
  <c r="A102" i="5"/>
  <c r="A108" i="5"/>
  <c r="A118" i="5"/>
  <c r="A122" i="5"/>
  <c r="A130" i="5"/>
  <c r="A134" i="5"/>
  <c r="A138" i="5"/>
  <c r="A146" i="5"/>
  <c r="A150" i="5"/>
  <c r="A154" i="5"/>
  <c r="A162" i="5"/>
  <c r="A170" i="5"/>
  <c r="A188" i="5"/>
  <c r="A192" i="5"/>
  <c r="A200" i="5"/>
  <c r="A204" i="5"/>
  <c r="A208" i="5"/>
  <c r="A220" i="5"/>
  <c r="A239" i="5"/>
  <c r="B268" i="5"/>
  <c r="B269" i="5"/>
  <c r="B270" i="5"/>
  <c r="B271" i="5"/>
  <c r="B272" i="5"/>
  <c r="B273" i="5"/>
  <c r="B274" i="5"/>
  <c r="B275" i="5"/>
  <c r="B276" i="5"/>
  <c r="B277" i="5"/>
</calcChain>
</file>

<file path=xl/sharedStrings.xml><?xml version="1.0" encoding="utf-8"?>
<sst xmlns="http://schemas.openxmlformats.org/spreadsheetml/2006/main" count="355" uniqueCount="276">
  <si>
    <t>S.No</t>
  </si>
  <si>
    <t>Column Name</t>
  </si>
  <si>
    <t>Suggested Data Validation Type</t>
  </si>
  <si>
    <t>Example Values</t>
  </si>
  <si>
    <t>Employee_ID</t>
  </si>
  <si>
    <t>Custom / Text Length</t>
  </si>
  <si>
    <t>EMP001</t>
  </si>
  <si>
    <t>Employee_Name</t>
  </si>
  <si>
    <t>Text Length</t>
  </si>
  <si>
    <t>Arun Kumar</t>
  </si>
  <si>
    <t>Age</t>
  </si>
  <si>
    <t>Whole Number</t>
  </si>
  <si>
    <t>18–60</t>
  </si>
  <si>
    <t>Salary</t>
  </si>
  <si>
    <t>Decimal</t>
  </si>
  <si>
    <t>15,000–150,000</t>
  </si>
  <si>
    <t>Department</t>
  </si>
  <si>
    <t>List</t>
  </si>
  <si>
    <t>HR, IT, Finance, Sales, Marketing</t>
  </si>
  <si>
    <t>Designation</t>
  </si>
  <si>
    <t>Executive, Analyst, Manager, Developer</t>
  </si>
  <si>
    <t>Gender</t>
  </si>
  <si>
    <t>Male, Female, Other</t>
  </si>
  <si>
    <t>Joining_Date</t>
  </si>
  <si>
    <t>Date</t>
  </si>
  <si>
    <t>01-Jan-2020 onwards</t>
  </si>
  <si>
    <t>Date_of_Birth</t>
  </si>
  <si>
    <t>01-Jan-1965 to 31-Dec-2008</t>
  </si>
  <si>
    <t>Working_Hours</t>
  </si>
  <si>
    <t>1–12</t>
  </si>
  <si>
    <t>Working_Days</t>
  </si>
  <si>
    <t>1–31</t>
  </si>
  <si>
    <t>Attendance_Percentage</t>
  </si>
  <si>
    <t>0–100</t>
  </si>
  <si>
    <t>Performance_Rating</t>
  </si>
  <si>
    <t>1–5</t>
  </si>
  <si>
    <t>Employment_Status</t>
  </si>
  <si>
    <t>Active, On Leave, Resigned, Terminated</t>
  </si>
  <si>
    <t>Experience_Years</t>
  </si>
  <si>
    <t>0–40</t>
  </si>
  <si>
    <t>Email_ID</t>
  </si>
  <si>
    <t>Custom</t>
  </si>
  <si>
    <t>Example: abc@gmail.com</t>
  </si>
  <si>
    <t>Phone_Number</t>
  </si>
  <si>
    <t>10 digits</t>
  </si>
  <si>
    <t>City</t>
  </si>
  <si>
    <t>Kochi, Calicut, Kannur, Trivandrum, Chennai</t>
  </si>
  <si>
    <t>Work_Mode</t>
  </si>
  <si>
    <t>Office, Remote, Hybrid</t>
  </si>
  <si>
    <t>Training_Hours</t>
  </si>
  <si>
    <t>Leave_Days</t>
  </si>
  <si>
    <t>0–30</t>
  </si>
  <si>
    <t>Bonus_Percentage</t>
  </si>
  <si>
    <t>0–50</t>
  </si>
  <si>
    <t>Employee_Code</t>
  </si>
  <si>
    <t>Exactly 6 characters</t>
  </si>
  <si>
    <t>Department_Code</t>
  </si>
  <si>
    <t>HR01, IT01, FIN01, SAL01, MKT01</t>
  </si>
  <si>
    <t>Manager_Name</t>
  </si>
  <si>
    <t>Priya, Rahul, Anil, Sneha</t>
  </si>
  <si>
    <t>Project_Status</t>
  </si>
  <si>
    <t>Not Started, In Progress, Completed, On Hold</t>
  </si>
  <si>
    <t>Priority</t>
  </si>
  <si>
    <t>Low, Medium, High, Critical</t>
  </si>
  <si>
    <t>Review_Date</t>
  </si>
  <si>
    <t>Today or future date</t>
  </si>
  <si>
    <t>Monthly_Target</t>
  </si>
  <si>
    <t>10–1000</t>
  </si>
  <si>
    <t>Customer_Satisfaction</t>
  </si>
  <si>
    <t>1–10</t>
  </si>
  <si>
    <t>Excel Data Validation – Short Notes</t>
  </si>
  <si>
    <t>Definition</t>
  </si>
  <si>
    <r>
      <t>Data Validation</t>
    </r>
    <r>
      <rPr>
        <sz val="11"/>
        <color theme="1"/>
        <rFont val="Aptos Narrow"/>
        <family val="2"/>
        <scheme val="minor"/>
      </rPr>
      <t xml:space="preserve"> controls what users can enter into an Excel cell and helps prevent incorrect data.</t>
    </r>
  </si>
  <si>
    <r>
      <t>Path: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Data → Data Validation</t>
    </r>
  </si>
  <si>
    <t>Types of Data Validation</t>
  </si>
  <si>
    <t>Type</t>
  </si>
  <si>
    <t>Purpose</t>
  </si>
  <si>
    <t>Example</t>
  </si>
  <si>
    <t>Any Value</t>
  </si>
  <si>
    <t>Allows anything</t>
  </si>
  <si>
    <t>Comments</t>
  </si>
  <si>
    <t>Allows integers only</t>
  </si>
  <si>
    <t>Age: 18–60</t>
  </si>
  <si>
    <t>Allows decimal values</t>
  </si>
  <si>
    <t>Rating: 1–5</t>
  </si>
  <si>
    <t>Creates dropdown</t>
  </si>
  <si>
    <t>HR, IT, Finance</t>
  </si>
  <si>
    <t>Restricts dates</t>
  </si>
  <si>
    <t>Joining Date</t>
  </si>
  <si>
    <t>Time</t>
  </si>
  <si>
    <t>Restricts time</t>
  </si>
  <si>
    <t>8 AM–11 AM</t>
  </si>
  <si>
    <t>Controls characters</t>
  </si>
  <si>
    <t>Employee ID = 6</t>
  </si>
  <si>
    <t>Uses a formula</t>
  </si>
  <si>
    <t>ID must start with EMP</t>
  </si>
  <si>
    <t>Common Operators</t>
  </si>
  <si>
    <t>Operator</t>
  </si>
  <si>
    <t>Meaning</t>
  </si>
  <si>
    <t>Between</t>
  </si>
  <si>
    <t>Within a range</t>
  </si>
  <si>
    <t>Equal to</t>
  </si>
  <si>
    <t>Exact value</t>
  </si>
  <si>
    <t>Not equal to</t>
  </si>
  <si>
    <t>Different value</t>
  </si>
  <si>
    <t>Greater than</t>
  </si>
  <si>
    <t>Above</t>
  </si>
  <si>
    <t>Less than</t>
  </si>
  <si>
    <t>Below</t>
  </si>
  <si>
    <t>Greater than or equal to</t>
  </si>
  <si>
    <t>At least</t>
  </si>
  <si>
    <t>Less than or equal to</t>
  </si>
  <si>
    <t>At most</t>
  </si>
  <si>
    <t>Future date</t>
  </si>
  <si>
    <t>Input Message</t>
  </si>
  <si>
    <t>Displays instructions when a cell is selected.</t>
  </si>
  <si>
    <t>Example:</t>
  </si>
  <si>
    <t>Enter age between 18 and 60.</t>
  </si>
  <si>
    <t>Error Alert</t>
  </si>
  <si>
    <t>Style</t>
  </si>
  <si>
    <t>Function</t>
  </si>
  <si>
    <t>Stop</t>
  </si>
  <si>
    <t>Prevents invalid entry</t>
  </si>
  <si>
    <t>Warning</t>
  </si>
  <si>
    <t>Warns but allows entry</t>
  </si>
  <si>
    <t>Information</t>
  </si>
  <si>
    <t>Gives information</t>
  </si>
  <si>
    <t>Quick Memory</t>
  </si>
  <si>
    <t>Whole Number → integers</t>
  </si>
  <si>
    <t>Decimal → decimal numbers</t>
  </si>
  <si>
    <t>List → dropdown</t>
  </si>
  <si>
    <t>Date → dates</t>
  </si>
  <si>
    <t>Time → times</t>
  </si>
  <si>
    <t>Text Length → characters</t>
  </si>
  <si>
    <t>Custom → formula/rule</t>
  </si>
  <si>
    <t>Input Message → instructions</t>
  </si>
  <si>
    <t>Error Alert → invalid-entry response</t>
  </si>
  <si>
    <t>Excel Data Validation – Custom</t>
  </si>
  <si>
    <t>What is Custom Validation?</t>
  </si>
  <si>
    <r>
      <t>Custom Validation</t>
    </r>
    <r>
      <rPr>
        <sz val="11"/>
        <color theme="1"/>
        <rFont val="Aptos Narrow"/>
        <family val="2"/>
        <scheme val="minor"/>
      </rPr>
      <t xml:space="preserve"> allows you to create your own rule using an </t>
    </r>
    <r>
      <rPr>
        <b/>
        <sz val="11"/>
        <color theme="1"/>
        <rFont val="Aptos Narrow"/>
        <family val="2"/>
        <scheme val="minor"/>
      </rPr>
      <t>Excel formula</t>
    </r>
    <r>
      <rPr>
        <sz val="11"/>
        <color theme="1"/>
        <rFont val="Aptos Narrow"/>
        <family val="2"/>
        <scheme val="minor"/>
      </rPr>
      <t>.</t>
    </r>
  </si>
  <si>
    <t>Path:</t>
  </si>
  <si>
    <t>Data → Data Validation → Allow → Custom</t>
  </si>
  <si>
    <t>The formula must return:</t>
  </si>
  <si>
    <t>TRUE → Data is accepted</t>
  </si>
  <si>
    <t>FALSE → Data is rejected</t>
  </si>
  <si>
    <t>1. Basic Custom Examples</t>
  </si>
  <si>
    <t>Requirement</t>
  </si>
  <si>
    <t>Formula</t>
  </si>
  <si>
    <t>Value must be positive</t>
  </si>
  <si>
    <t>Value must be 18 or above</t>
  </si>
  <si>
    <t>Value must be below 100</t>
  </si>
  <si>
    <t>Cell cannot be blank</t>
  </si>
  <si>
    <t>Only "Yes" allowed</t>
  </si>
  <si>
    <t>Only "Active" allowed</t>
  </si>
  <si>
    <t>2. Using AND()</t>
  </si>
  <si>
    <r>
      <t xml:space="preserve">Use </t>
    </r>
    <r>
      <rPr>
        <b/>
        <sz val="11"/>
        <color theme="1"/>
        <rFont val="Aptos Narrow"/>
        <family val="2"/>
        <scheme val="minor"/>
      </rPr>
      <t>AND()</t>
    </r>
    <r>
      <rPr>
        <sz val="11"/>
        <color theme="1"/>
        <rFont val="Aptos Narrow"/>
        <family val="2"/>
        <scheme val="minor"/>
      </rPr>
      <t xml:space="preserve"> when </t>
    </r>
    <r>
      <rPr>
        <b/>
        <sz val="11"/>
        <color theme="1"/>
        <rFont val="Aptos Narrow"/>
        <family val="2"/>
        <scheme val="minor"/>
      </rPr>
      <t>all conditions must be satisfied</t>
    </r>
    <r>
      <rPr>
        <sz val="11"/>
        <color theme="1"/>
        <rFont val="Aptos Narrow"/>
        <family val="2"/>
        <scheme val="minor"/>
      </rPr>
      <t>.</t>
    </r>
  </si>
  <si>
    <t>Example: Age 18–60</t>
  </si>
  <si>
    <t>Both conditions must be TRUE.</t>
  </si>
  <si>
    <t>Example: Salary ₹15,000–₹100,000</t>
  </si>
  <si>
    <t>3. Using OR()</t>
  </si>
  <si>
    <r>
      <t xml:space="preserve">Use </t>
    </r>
    <r>
      <rPr>
        <b/>
        <sz val="11"/>
        <color theme="1"/>
        <rFont val="Aptos Narrow"/>
        <family val="2"/>
        <scheme val="minor"/>
      </rPr>
      <t>OR()</t>
    </r>
    <r>
      <rPr>
        <sz val="11"/>
        <color theme="1"/>
        <rFont val="Aptos Narrow"/>
        <family val="2"/>
        <scheme val="minor"/>
      </rPr>
      <t xml:space="preserve"> when </t>
    </r>
    <r>
      <rPr>
        <b/>
        <sz val="11"/>
        <color theme="1"/>
        <rFont val="Aptos Narrow"/>
        <family val="2"/>
        <scheme val="minor"/>
      </rPr>
      <t>any one condition can be satisfied</t>
    </r>
    <r>
      <rPr>
        <sz val="11"/>
        <color theme="1"/>
        <rFont val="Aptos Narrow"/>
        <family val="2"/>
        <scheme val="minor"/>
      </rPr>
      <t>.</t>
    </r>
  </si>
  <si>
    <t>Example: Department can be HR or IT</t>
  </si>
  <si>
    <t>Example: Status can be Active or On Leave</t>
  </si>
  <si>
    <t>4. Checking Text</t>
  </si>
  <si>
    <t>Starts with EMP</t>
  </si>
  <si>
    <t>Ends with 001</t>
  </si>
  <si>
    <t>Contains "India"</t>
  </si>
  <si>
    <t>5. Checking Text Length</t>
  </si>
  <si>
    <t>Maximum 20 characters</t>
  </si>
  <si>
    <t>Minimum 5 characters</t>
  </si>
  <si>
    <t>6. Preventing Duplicate Values</t>
  </si>
  <si>
    <t>For Employee ID:</t>
  </si>
  <si>
    <r>
      <t xml:space="preserve">This allows the value only if it appears </t>
    </r>
    <r>
      <rPr>
        <b/>
        <sz val="11"/>
        <color theme="1"/>
        <rFont val="Aptos Narrow"/>
        <family val="2"/>
        <scheme val="minor"/>
      </rPr>
      <t>once</t>
    </r>
    <r>
      <rPr>
        <sz val="11"/>
        <color theme="1"/>
        <rFont val="Aptos Narrow"/>
        <family val="2"/>
        <scheme val="minor"/>
      </rPr>
      <t>.</t>
    </r>
  </si>
  <si>
    <t>7. Preventing Blank Cells</t>
  </si>
  <si>
    <t>Useful for mandatory fields such as:</t>
  </si>
  <si>
    <t>Employee ID</t>
  </si>
  <si>
    <t>Student ID</t>
  </si>
  <si>
    <t>Customer ID</t>
  </si>
  <si>
    <t>Order ID</t>
  </si>
  <si>
    <t>8. Checking Numbers</t>
  </si>
  <si>
    <t>Only numbers</t>
  </si>
  <si>
    <t>Only text</t>
  </si>
  <si>
    <t>9. Date Validation</t>
  </si>
  <si>
    <t>Date cannot be before today</t>
  </si>
  <si>
    <t>Only future dates</t>
  </si>
  <si>
    <t>Only weekdays</t>
  </si>
  <si>
    <r>
      <t xml:space="preserve">This allows </t>
    </r>
    <r>
      <rPr>
        <b/>
        <sz val="11"/>
        <color theme="1"/>
        <rFont val="Aptos Narrow"/>
        <family val="2"/>
        <scheme val="minor"/>
      </rPr>
      <t>Monday–Friday</t>
    </r>
    <r>
      <rPr>
        <sz val="11"/>
        <color theme="1"/>
        <rFont val="Aptos Narrow"/>
        <family val="2"/>
        <scheme val="minor"/>
      </rPr>
      <t>.</t>
    </r>
  </si>
  <si>
    <t>10. Combining Conditions</t>
  </si>
  <si>
    <t>Age must be 18–60 AND employee must be Active.</t>
  </si>
  <si>
    <t>11. Custom vs List</t>
  </si>
  <si>
    <t>Uses formula</t>
  </si>
  <si>
    <t>Uses predefined options</t>
  </si>
  <si>
    <t>More flexible</t>
  </si>
  <si>
    <t>Easier to create</t>
  </si>
  <si>
    <t>Good for complex rules</t>
  </si>
  <si>
    <t>Good for dropdowns</t>
  </si>
  <si>
    <t>Can combine conditions</t>
  </si>
  <si>
    <t>Best for fixed choices</t>
  </si>
  <si>
    <t>List:</t>
  </si>
  <si>
    <t>Custom:</t>
  </si>
  <si>
    <r>
      <t xml:space="preserve">Both can work, but </t>
    </r>
    <r>
      <rPr>
        <b/>
        <sz val="11"/>
        <color theme="1"/>
        <rFont val="Aptos Narrow"/>
        <family val="2"/>
        <scheme val="minor"/>
      </rPr>
      <t>List is simpler</t>
    </r>
    <r>
      <rPr>
        <sz val="11"/>
        <color theme="1"/>
        <rFont val="Aptos Narrow"/>
        <family val="2"/>
        <scheme val="minor"/>
      </rPr>
      <t xml:space="preserve"> for fixed options.</t>
    </r>
  </si>
  <si>
    <t>12. Important Rules for Custom Validation</t>
  </si>
  <si>
    <r>
      <t xml:space="preserve">1. Formula must return </t>
    </r>
    <r>
      <rPr>
        <b/>
        <sz val="11"/>
        <color theme="1"/>
        <rFont val="Aptos Narrow"/>
        <family val="2"/>
        <scheme val="minor"/>
      </rPr>
      <t>TRUE or FALSE</t>
    </r>
    <r>
      <rPr>
        <sz val="11"/>
        <color theme="1"/>
        <rFont val="Aptos Narrow"/>
        <family val="2"/>
        <scheme val="minor"/>
      </rPr>
      <t>.</t>
    </r>
  </si>
  <si>
    <r>
      <t xml:space="preserve">2. Reference the </t>
    </r>
    <r>
      <rPr>
        <b/>
        <sz val="11"/>
        <color theme="1"/>
        <rFont val="Aptos Narrow"/>
        <family val="2"/>
        <scheme val="minor"/>
      </rPr>
      <t>first cell</t>
    </r>
    <r>
      <rPr>
        <sz val="11"/>
        <color theme="1"/>
        <rFont val="Aptos Narrow"/>
        <family val="2"/>
        <scheme val="minor"/>
      </rPr>
      <t xml:space="preserve"> of your selected range.</t>
    </r>
  </si>
  <si>
    <r>
      <t xml:space="preserve">3. Use </t>
    </r>
    <r>
      <rPr>
        <sz val="10"/>
        <color theme="1"/>
        <rFont val="Arial Unicode MS"/>
      </rPr>
      <t>$</t>
    </r>
    <r>
      <rPr>
        <sz val="11"/>
        <color theme="1"/>
        <rFont val="Aptos Narrow"/>
        <family val="2"/>
        <scheme val="minor"/>
      </rPr>
      <t xml:space="preserve"> when you need fixed ranges.</t>
    </r>
  </si>
  <si>
    <r>
      <t xml:space="preserve">4. Use </t>
    </r>
    <r>
      <rPr>
        <sz val="10"/>
        <color theme="1"/>
        <rFont val="Arial Unicode MS"/>
      </rPr>
      <t>AND()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all conditions</t>
    </r>
    <r>
      <rPr>
        <sz val="11"/>
        <color theme="1"/>
        <rFont val="Aptos Narrow"/>
        <family val="2"/>
        <scheme val="minor"/>
      </rPr>
      <t>.</t>
    </r>
  </si>
  <si>
    <r>
      <t xml:space="preserve">5. Use </t>
    </r>
    <r>
      <rPr>
        <sz val="10"/>
        <color theme="1"/>
        <rFont val="Arial Unicode MS"/>
      </rPr>
      <t>OR()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any condition</t>
    </r>
    <r>
      <rPr>
        <sz val="11"/>
        <color theme="1"/>
        <rFont val="Aptos Narrow"/>
        <family val="2"/>
        <scheme val="minor"/>
      </rPr>
      <t>.</t>
    </r>
  </si>
  <si>
    <r>
      <t xml:space="preserve">6. Use </t>
    </r>
    <r>
      <rPr>
        <sz val="10"/>
        <color theme="1"/>
        <rFont val="Arial Unicode MS"/>
      </rPr>
      <t>COUNTIF()</t>
    </r>
    <r>
      <rPr>
        <sz val="11"/>
        <color theme="1"/>
        <rFont val="Aptos Narrow"/>
        <family val="2"/>
        <scheme val="minor"/>
      </rPr>
      <t xml:space="preserve"> for duplicate checking.</t>
    </r>
  </si>
  <si>
    <r>
      <t xml:space="preserve">7. Use </t>
    </r>
    <r>
      <rPr>
        <sz val="10"/>
        <color theme="1"/>
        <rFont val="Arial Unicode MS"/>
      </rPr>
      <t>LEN()</t>
    </r>
    <r>
      <rPr>
        <sz val="11"/>
        <color theme="1"/>
        <rFont val="Aptos Narrow"/>
        <family val="2"/>
        <scheme val="minor"/>
      </rPr>
      <t xml:space="preserve"> for character length.</t>
    </r>
  </si>
  <si>
    <r>
      <t xml:space="preserve">8. Use </t>
    </r>
    <r>
      <rPr>
        <sz val="10"/>
        <color theme="1"/>
        <rFont val="Arial Unicode MS"/>
      </rPr>
      <t>LEFT()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RIGHT()</t>
    </r>
    <r>
      <rPr>
        <sz val="11"/>
        <color theme="1"/>
        <rFont val="Aptos Narrow"/>
        <family val="2"/>
        <scheme val="minor"/>
      </rPr>
      <t xml:space="preserve"> for text patterns.</t>
    </r>
  </si>
  <si>
    <r>
      <t xml:space="preserve">9. Use </t>
    </r>
    <r>
      <rPr>
        <sz val="10"/>
        <color theme="1"/>
        <rFont val="Arial Unicode MS"/>
      </rPr>
      <t>TODAY()</t>
    </r>
    <r>
      <rPr>
        <sz val="11"/>
        <color theme="1"/>
        <rFont val="Aptos Narrow"/>
        <family val="2"/>
        <scheme val="minor"/>
      </rPr>
      <t xml:space="preserve"> for dynamic date rules.</t>
    </r>
  </si>
  <si>
    <t>Quick Formula Cheat Sheet</t>
  </si>
  <si>
    <t>Positive number</t>
  </si>
  <si>
    <t>Not blank</t>
  </si>
  <si>
    <t>No duplicates</t>
  </si>
  <si>
    <t>Monday–Friday</t>
  </si>
  <si>
    <t>Number only</t>
  </si>
  <si>
    <t>Text only</t>
  </si>
  <si>
    <t>HR</t>
  </si>
  <si>
    <t xml:space="preserve"> IT</t>
  </si>
  <si>
    <t xml:space="preserve"> Finance</t>
  </si>
  <si>
    <t xml:space="preserve"> Sales</t>
  </si>
  <si>
    <t xml:space="preserve"> Marketing</t>
  </si>
  <si>
    <t>Executive</t>
  </si>
  <si>
    <t xml:space="preserve"> Analyst</t>
  </si>
  <si>
    <t xml:space="preserve"> Manager</t>
  </si>
  <si>
    <t xml:space="preserve"> Developer</t>
  </si>
  <si>
    <t>Male</t>
  </si>
  <si>
    <t xml:space="preserve"> Female</t>
  </si>
  <si>
    <t xml:space="preserve"> Other</t>
  </si>
  <si>
    <t>Active</t>
  </si>
  <si>
    <t xml:space="preserve"> On Leave</t>
  </si>
  <si>
    <t xml:space="preserve"> Resigned</t>
  </si>
  <si>
    <t xml:space="preserve"> Terminated</t>
  </si>
  <si>
    <t>Kochi,</t>
  </si>
  <si>
    <t>Calicut,</t>
  </si>
  <si>
    <t>Kannur,</t>
  </si>
  <si>
    <t>Trivandrum,</t>
  </si>
  <si>
    <t>Chennai</t>
  </si>
  <si>
    <t>Office</t>
  </si>
  <si>
    <t xml:space="preserve"> Remote</t>
  </si>
  <si>
    <t xml:space="preserve"> Hybrid</t>
  </si>
  <si>
    <t>Column1</t>
  </si>
  <si>
    <t>HR01</t>
  </si>
  <si>
    <t xml:space="preserve"> IT01</t>
  </si>
  <si>
    <t xml:space="preserve"> FIN01</t>
  </si>
  <si>
    <t xml:space="preserve"> SAL01</t>
  </si>
  <si>
    <t xml:space="preserve"> MKT01</t>
  </si>
  <si>
    <t>Priya</t>
  </si>
  <si>
    <t xml:space="preserve"> Rahul</t>
  </si>
  <si>
    <t xml:space="preserve"> Anil</t>
  </si>
  <si>
    <t xml:space="preserve"> Sneha</t>
  </si>
  <si>
    <t>Not Started</t>
  </si>
  <si>
    <t xml:space="preserve"> In Progress</t>
  </si>
  <si>
    <t xml:space="preserve"> Completed</t>
  </si>
  <si>
    <t xml:space="preserve"> On Hold</t>
  </si>
  <si>
    <t>Low</t>
  </si>
  <si>
    <t xml:space="preserve"> Medium</t>
  </si>
  <si>
    <t xml:space="preserve"> High</t>
  </si>
  <si>
    <t xml:space="preserve"> Critical</t>
  </si>
  <si>
    <t>Email</t>
  </si>
  <si>
    <t>Username</t>
  </si>
  <si>
    <t>Product_Code</t>
  </si>
  <si>
    <t>Invoice_Number</t>
  </si>
  <si>
    <t>Start_Date</t>
  </si>
  <si>
    <t>End_Date</t>
  </si>
  <si>
    <t>Quantity</t>
  </si>
  <si>
    <t>Discount_Percent</t>
  </si>
  <si>
    <t>Customer_Type</t>
  </si>
  <si>
    <t>Employee_Salary</t>
  </si>
  <si>
    <t>Manager_Salary</t>
  </si>
  <si>
    <t>Status</t>
  </si>
  <si>
    <t>Rema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</si>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</sst>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9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9" fillId="7" borderId="1" xfId="0" applyFont="1" applyFill="1" applyBorder="1" applyAlignment="1">
      <alignment horizontal="center" vertical="center" wrapText="1"/>
    </xf>
    <xf numFmtId="0" fontId="0" fillId="7" borderId="0" xfId="0" applyFill="1"/>
    <xf numFmtId="0" fontId="9" fillId="8" borderId="6" xfId="0" applyFont="1" applyFill="1" applyBorder="1" applyAlignment="1">
      <alignment horizontal="center" vertical="center" wrapText="1"/>
    </xf>
    <xf numFmtId="0" fontId="0" fillId="8" borderId="0" xfId="0" applyFill="1"/>
    <xf numFmtId="0" fontId="9" fillId="9" borderId="6" xfId="0" applyFont="1" applyFill="1" applyBorder="1" applyAlignment="1">
      <alignment horizontal="center" vertical="center" wrapText="1"/>
    </xf>
    <xf numFmtId="0" fontId="0" fillId="9" borderId="0" xfId="0" applyFill="1"/>
    <xf numFmtId="0" fontId="9" fillId="10" borderId="6" xfId="0" applyFont="1" applyFill="1" applyBorder="1" applyAlignment="1">
      <alignment horizontal="center" vertical="center" wrapText="1"/>
    </xf>
    <xf numFmtId="0" fontId="0" fillId="10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13"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98E70-2D90-4DDF-A69E-16A5D8B6BA39}" name="Table1" displayName="Table1" ref="A1:E31" totalsRowShown="0" headerRowDxfId="9" dataDxfId="7" headerRowBorderDxfId="8" tableBorderDxfId="6" totalsRowBorderDxfId="5">
  <autoFilter ref="A1:E31" xr:uid="{25198E70-2D90-4DDF-A69E-16A5D8B6BA39}"/>
  <tableColumns count="5">
    <tableColumn id="1" xr3:uid="{E7DD8751-1C0E-4906-8697-59E272E35B9F}" name="S.No" dataDxfId="4"/>
    <tableColumn id="2" xr3:uid="{8EDACE37-E5FB-42D7-A0ED-FDE98D6EAA04}" name="Column Name" dataDxfId="3"/>
    <tableColumn id="3" xr3:uid="{A94D685F-95EA-4463-998D-EE229FDF0FDB}" name="Suggested Data Validation Type" dataDxfId="2"/>
    <tableColumn id="4" xr3:uid="{4B1F3910-80AA-4428-A39E-FDD4C7B4BBD2}" name="Example Values" dataDxfId="1"/>
    <tableColumn id="5" xr3:uid="{C1ADC524-598A-4E3C-9CFA-BAD081384BBB}" name="Column1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75FED-46EF-47A4-B8D2-83FA1E5E1DFD}" name="Table2" displayName="Table2" ref="A1:AD31" totalsRowShown="0" headerRowDxfId="12" headerRowBorderDxfId="11" tableBorderDxfId="10">
  <tableColumns count="30">
    <tableColumn id="1" xr3:uid="{6837D3EC-9B2B-4D00-8164-63CB5DC6C7CB}" name="Employee_ID"/>
    <tableColumn id="2" xr3:uid="{A235707E-5094-4C78-B5DC-92CF2B964FEF}" name="Employee_Name"/>
    <tableColumn id="3" xr3:uid="{BE0C2946-C4B9-4ABB-B4F4-A7831D33BF27}" name="Age"/>
    <tableColumn id="4" xr3:uid="{DCD60E1C-F173-4291-A4E4-2FD3CF215B6D}" name="Salary"/>
    <tableColumn id="5" xr3:uid="{AB9A053F-4A58-4427-8789-AFFA58348B9E}" name="Department"/>
    <tableColumn id="6" xr3:uid="{0B7E6070-9BF5-4566-A9A3-E9589D284F25}" name="Designation"/>
    <tableColumn id="7" xr3:uid="{729E8902-DE7B-464E-BAC0-05AC40F1E418}" name="Gender"/>
    <tableColumn id="8" xr3:uid="{DBFBF420-8F36-4ADE-82C3-7446AC7ED346}" name="Joining_Date"/>
    <tableColumn id="9" xr3:uid="{1DA6E19E-3A34-4201-99BF-27AA08303B22}" name="Date_of_Birth"/>
    <tableColumn id="10" xr3:uid="{4BD72914-AFF2-4A56-82CE-0A371E184BE9}" name="Working_Hours"/>
    <tableColumn id="11" xr3:uid="{6840CA35-4D86-460F-B0D7-C4B7212C1B12}" name="Working_Days"/>
    <tableColumn id="12" xr3:uid="{CAAEA0D9-FD0B-497A-911B-39F40D956B5D}" name="Attendance_Percentage"/>
    <tableColumn id="13" xr3:uid="{60362867-0C2E-4BC2-ACD6-A73F50CDA61A}" name="Performance_Rating"/>
    <tableColumn id="14" xr3:uid="{FCBB0F65-D111-4C41-BC6A-A30384A2C16F}" name="Employment_Status"/>
    <tableColumn id="15" xr3:uid="{4C717130-4801-45D8-9E32-F863B1F0DC9C}" name="Experience_Years"/>
    <tableColumn id="16" xr3:uid="{B6DF875F-76ED-43BC-ACE9-861A52948C42}" name="Email_ID"/>
    <tableColumn id="17" xr3:uid="{2F5F100A-1EDA-4389-B590-FAE1179EAC29}" name="Phone_Number"/>
    <tableColumn id="18" xr3:uid="{ABDD3252-D864-4B6D-BFEA-02D90B577FFC}" name="City"/>
    <tableColumn id="19" xr3:uid="{D2B89907-2739-412F-BD28-0C6A55E1589B}" name="Work_Mode"/>
    <tableColumn id="20" xr3:uid="{10BFFCB3-2443-4872-A746-33591AA6635E}" name="Training_Hours"/>
    <tableColumn id="21" xr3:uid="{2841CCCB-A96B-45A5-89AD-42C0C686B39A}" name="Leave_Days"/>
    <tableColumn id="22" xr3:uid="{1B9D4CD6-2D54-47FA-BB83-6FDA18F00C82}" name="Bonus_Percentage"/>
    <tableColumn id="23" xr3:uid="{7067578D-0FDB-4CD5-8F19-028B6E24B0F2}" name="Employee_Code"/>
    <tableColumn id="24" xr3:uid="{77D51E93-7A83-4793-897A-2AC3C8499FE8}" name="Department_Code"/>
    <tableColumn id="25" xr3:uid="{D4D472C6-CF1A-4695-823F-80E4AF405371}" name="Manager_Name"/>
    <tableColumn id="26" xr3:uid="{F149773D-7366-4595-A201-A0FEBA0A0A00}" name="Project_Status"/>
    <tableColumn id="27" xr3:uid="{DF5980CD-2B83-43AB-BB8D-A8E291F56D24}" name="Priority"/>
    <tableColumn id="28" xr3:uid="{C0217E49-8C5A-48E5-8C0B-089F77834F5D}" name="Review_Date"/>
    <tableColumn id="29" xr3:uid="{DDDC9798-B621-41A4-99B5-285E49D5E3E6}" name="Monthly_Target"/>
    <tableColumn id="30" xr3:uid="{EE97831F-5E6F-451B-A608-E8A6C986BDE0}" name="Customer_Satisfaction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8B3EF0-E222-47E0-B485-E5874BC43C7C}" name="Table3" displayName="Table3" ref="A1:X16" totalsRowShown="0">
  <autoFilter ref="A1:X16" xr:uid="{B58B3EF0-E222-47E0-B485-E5874BC43C7C}"/>
  <tableColumns count="24">
    <tableColumn id="1" xr3:uid="{35A4530A-5356-4C73-9FFE-DF9952D95B40}" name="Employee_ID"/>
    <tableColumn id="2" xr3:uid="{AB6D6600-3E89-42C4-9121-5E02394BD6DD}" name="Employee_Name"/>
    <tableColumn id="3" xr3:uid="{31FEBD64-16E2-4A65-98AB-5B3F61A283EB}" name="Email"/>
    <tableColumn id="4" xr3:uid="{D9A1DA72-4EFD-4B5A-8596-0237507E46D4}" name="Username"/>
    <tableColumn id="5" xr3:uid="{98A96A76-4330-495E-8174-93A656123EDF}" name="Phone_Number"/>
    <tableColumn id="6" xr3:uid="{5332B797-BB19-4102-A5CB-240025BB041F}" name="Product_Code"/>
    <tableColumn id="7" xr3:uid="{B09EA2B3-54A4-48AA-879B-D7768FF0B1BC}" name="Invoice_Number"/>
    <tableColumn id="8" xr3:uid="{8E6B7439-AEBA-457E-AD78-A075CDE5E6A9}" name="Joining_Date"/>
    <tableColumn id="9" xr3:uid="{E482B31B-3537-47E9-8DF8-015BA7A6660F}" name="Start_Date"/>
    <tableColumn id="10" xr3:uid="{874996CB-F8E8-4F0C-A432-34F7DEE056AF}" name="End_Date"/>
    <tableColumn id="11" xr3:uid="{55F73E75-193F-456D-A118-A29E2AFC9481}" name="Working_Days"/>
    <tableColumn id="12" xr3:uid="{5C947337-86F2-43A2-A285-53DE49CE9C51}" name="Leave_Days"/>
    <tableColumn id="13" xr3:uid="{C690683C-04B6-4405-9570-0D53D5E2CB5F}" name="Quantity"/>
    <tableColumn id="14" xr3:uid="{0B109D91-77D2-4929-8887-D0AEE2F62108}" name="Discount_Percent"/>
    <tableColumn id="15" xr3:uid="{2E24D21C-F027-410A-B8AB-6306B51AF972}" name="Customer_Type"/>
    <tableColumn id="16" xr3:uid="{6C041999-C809-41E1-9C90-0E62432E53C9}" name="Employee_Salary"/>
    <tableColumn id="17" xr3:uid="{4295BFCC-81A0-4A99-B7AA-019910499740}" name="Manager_Salary"/>
    <tableColumn id="18" xr3:uid="{36EA3434-38E6-4B33-82EA-C0BFD1D10C5B}" name="Age"/>
    <tableColumn id="19" xr3:uid="{24772F62-E55B-4E53-B5AB-0B7CA9479371}" name="Status"/>
    <tableColumn id="20" xr3:uid="{EAEED605-8932-4E44-A50B-282817EA2BBA}" name="Rema"/>
    <tableColumn id="21" xr3:uid="{40B8F2FA-98CB-458E-805F-2ED922A1FEC4}" name="Column1"/>
    <tableColumn id="22" xr3:uid="{5C5CE4F0-4977-442C-AA98-030EF8834EA7}" name="Column2"/>
    <tableColumn id="23" xr3:uid="{A9CDECA0-BEFC-4AD6-BCA4-5B2CBA7D13B4}" name="Column3"/>
    <tableColumn id="24" xr3:uid="{324FD1E4-91BF-447B-991F-86EEA83D6000}" name="Column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bc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C7BB-0637-4645-B908-65069D99CF27}">
  <dimension ref="A1:J31"/>
  <sheetViews>
    <sheetView workbookViewId="0">
      <selection activeCell="F29" sqref="F29:I29"/>
    </sheetView>
  </sheetViews>
  <sheetFormatPr defaultRowHeight="14.5"/>
  <cols>
    <col min="1" max="1" width="19.54296875" customWidth="1"/>
    <col min="2" max="2" width="32.1796875" customWidth="1"/>
    <col min="3" max="3" width="34.7265625" customWidth="1"/>
    <col min="4" max="4" width="29.81640625" customWidth="1"/>
    <col min="8" max="8" width="26.26953125" customWidth="1"/>
  </cols>
  <sheetData>
    <row r="1" spans="1:10" ht="32">
      <c r="A1" s="23" t="s">
        <v>0</v>
      </c>
      <c r="B1" s="24" t="s">
        <v>1</v>
      </c>
      <c r="C1" s="24" t="s">
        <v>2</v>
      </c>
      <c r="D1" s="25" t="s">
        <v>3</v>
      </c>
      <c r="E1" s="24" t="s">
        <v>242</v>
      </c>
      <c r="F1" s="35" t="s">
        <v>218</v>
      </c>
      <c r="G1" s="36" t="s">
        <v>219</v>
      </c>
      <c r="H1" s="37" t="s">
        <v>220</v>
      </c>
      <c r="I1" s="36" t="s">
        <v>221</v>
      </c>
      <c r="J1" s="36" t="s">
        <v>222</v>
      </c>
    </row>
    <row r="2" spans="1:10" ht="16">
      <c r="A2" s="26">
        <v>1</v>
      </c>
      <c r="B2" s="27" t="s">
        <v>4</v>
      </c>
      <c r="C2" s="27" t="s">
        <v>5</v>
      </c>
      <c r="D2" s="28" t="s">
        <v>6</v>
      </c>
      <c r="E2" s="34"/>
    </row>
    <row r="3" spans="1:10" ht="16">
      <c r="A3" s="26">
        <v>2</v>
      </c>
      <c r="B3" s="27" t="s">
        <v>7</v>
      </c>
      <c r="C3" s="27" t="s">
        <v>8</v>
      </c>
      <c r="D3" s="28" t="s">
        <v>9</v>
      </c>
      <c r="E3" s="34"/>
    </row>
    <row r="4" spans="1:10" ht="32">
      <c r="A4" s="26">
        <v>3</v>
      </c>
      <c r="B4" s="27" t="s">
        <v>10</v>
      </c>
      <c r="C4" s="27" t="s">
        <v>11</v>
      </c>
      <c r="D4" s="28" t="s">
        <v>12</v>
      </c>
      <c r="E4" s="34"/>
      <c r="F4" s="38" t="s">
        <v>223</v>
      </c>
      <c r="G4" s="39" t="s">
        <v>224</v>
      </c>
      <c r="H4" s="39" t="s">
        <v>225</v>
      </c>
      <c r="I4" s="39" t="s">
        <v>226</v>
      </c>
    </row>
    <row r="5" spans="1:10" ht="16">
      <c r="A5" s="26">
        <v>4</v>
      </c>
      <c r="B5" s="27" t="s">
        <v>13</v>
      </c>
      <c r="C5" s="27" t="s">
        <v>14</v>
      </c>
      <c r="D5" s="28" t="s">
        <v>15</v>
      </c>
      <c r="E5" s="34"/>
    </row>
    <row r="6" spans="1:10" ht="16">
      <c r="A6" s="26">
        <v>5</v>
      </c>
      <c r="B6" s="27" t="s">
        <v>16</v>
      </c>
      <c r="C6" s="27" t="s">
        <v>17</v>
      </c>
      <c r="D6" s="28" t="s">
        <v>18</v>
      </c>
      <c r="E6" s="34"/>
      <c r="F6" s="40" t="s">
        <v>227</v>
      </c>
      <c r="G6" s="41" t="s">
        <v>228</v>
      </c>
      <c r="H6" s="41" t="s">
        <v>229</v>
      </c>
    </row>
    <row r="7" spans="1:10" ht="32">
      <c r="A7" s="26">
        <v>6</v>
      </c>
      <c r="B7" s="27" t="s">
        <v>19</v>
      </c>
      <c r="C7" s="27" t="s">
        <v>17</v>
      </c>
      <c r="D7" s="28" t="s">
        <v>20</v>
      </c>
      <c r="E7" s="34"/>
    </row>
    <row r="8" spans="1:10" ht="16">
      <c r="A8" s="26">
        <v>7</v>
      </c>
      <c r="B8" s="27" t="s">
        <v>21</v>
      </c>
      <c r="C8" s="27" t="s">
        <v>17</v>
      </c>
      <c r="D8" s="28" t="s">
        <v>22</v>
      </c>
      <c r="E8" s="34"/>
    </row>
    <row r="9" spans="1:10" ht="16">
      <c r="A9" s="26">
        <v>8</v>
      </c>
      <c r="B9" s="27" t="s">
        <v>23</v>
      </c>
      <c r="C9" s="27" t="s">
        <v>24</v>
      </c>
      <c r="D9" s="28" t="s">
        <v>25</v>
      </c>
      <c r="E9" s="34"/>
    </row>
    <row r="10" spans="1:10" ht="16">
      <c r="A10" s="26">
        <v>9</v>
      </c>
      <c r="B10" s="27" t="s">
        <v>26</v>
      </c>
      <c r="C10" s="27" t="s">
        <v>24</v>
      </c>
      <c r="D10" s="28" t="s">
        <v>27</v>
      </c>
      <c r="E10" s="34"/>
      <c r="F10" s="42" t="s">
        <v>230</v>
      </c>
      <c r="G10" s="43" t="s">
        <v>231</v>
      </c>
      <c r="H10" s="43" t="s">
        <v>232</v>
      </c>
      <c r="I10" s="43" t="s">
        <v>233</v>
      </c>
      <c r="J10" s="43"/>
    </row>
    <row r="11" spans="1:10" ht="16">
      <c r="A11" s="26">
        <v>10</v>
      </c>
      <c r="B11" s="27" t="s">
        <v>28</v>
      </c>
      <c r="C11" s="27" t="s">
        <v>14</v>
      </c>
      <c r="D11" s="28" t="s">
        <v>29</v>
      </c>
      <c r="E11" s="34"/>
    </row>
    <row r="12" spans="1:10" ht="16">
      <c r="A12" s="26">
        <v>11</v>
      </c>
      <c r="B12" s="27" t="s">
        <v>30</v>
      </c>
      <c r="C12" s="27" t="s">
        <v>11</v>
      </c>
      <c r="D12" s="28" t="s">
        <v>31</v>
      </c>
      <c r="E12" s="34"/>
    </row>
    <row r="13" spans="1:10" ht="16">
      <c r="A13" s="26">
        <v>12</v>
      </c>
      <c r="B13" s="27" t="s">
        <v>32</v>
      </c>
      <c r="C13" s="27" t="s">
        <v>14</v>
      </c>
      <c r="D13" s="28" t="s">
        <v>33</v>
      </c>
      <c r="E13" s="34"/>
      <c r="F13" s="44" t="s">
        <v>234</v>
      </c>
      <c r="G13" s="45" t="s">
        <v>235</v>
      </c>
      <c r="H13" s="45" t="s">
        <v>236</v>
      </c>
      <c r="I13" s="45" t="s">
        <v>237</v>
      </c>
      <c r="J13" s="45" t="s">
        <v>238</v>
      </c>
    </row>
    <row r="14" spans="1:10" ht="16">
      <c r="A14" s="26">
        <v>13</v>
      </c>
      <c r="B14" s="27" t="s">
        <v>34</v>
      </c>
      <c r="C14" s="27" t="s">
        <v>14</v>
      </c>
      <c r="D14" s="28" t="s">
        <v>35</v>
      </c>
      <c r="E14" s="34"/>
    </row>
    <row r="15" spans="1:10" ht="32">
      <c r="A15" s="26">
        <v>14</v>
      </c>
      <c r="B15" s="27" t="s">
        <v>36</v>
      </c>
      <c r="C15" s="27" t="s">
        <v>17</v>
      </c>
      <c r="D15" s="28" t="s">
        <v>37</v>
      </c>
      <c r="E15" s="34"/>
      <c r="F15" s="46" t="s">
        <v>239</v>
      </c>
      <c r="G15" s="47" t="s">
        <v>240</v>
      </c>
      <c r="H15" s="47" t="s">
        <v>241</v>
      </c>
    </row>
    <row r="16" spans="1:10" ht="16">
      <c r="A16" s="26">
        <v>15</v>
      </c>
      <c r="B16" s="27" t="s">
        <v>38</v>
      </c>
      <c r="C16" s="27" t="s">
        <v>11</v>
      </c>
      <c r="D16" s="28" t="s">
        <v>39</v>
      </c>
      <c r="E16" s="34"/>
    </row>
    <row r="17" spans="1:9" ht="16">
      <c r="A17" s="26">
        <v>16</v>
      </c>
      <c r="B17" s="27" t="s">
        <v>40</v>
      </c>
      <c r="C17" s="27" t="s">
        <v>41</v>
      </c>
      <c r="D17" s="29" t="s">
        <v>42</v>
      </c>
      <c r="E17" s="34"/>
    </row>
    <row r="18" spans="1:9" ht="16">
      <c r="A18" s="26">
        <v>17</v>
      </c>
      <c r="B18" s="27" t="s">
        <v>43</v>
      </c>
      <c r="C18" s="27" t="s">
        <v>8</v>
      </c>
      <c r="D18" s="28" t="s">
        <v>44</v>
      </c>
      <c r="E18" s="34"/>
    </row>
    <row r="19" spans="1:9" ht="32">
      <c r="A19" s="26">
        <v>18</v>
      </c>
      <c r="B19" s="27" t="s">
        <v>45</v>
      </c>
      <c r="C19" s="27" t="s">
        <v>17</v>
      </c>
      <c r="D19" s="28" t="s">
        <v>46</v>
      </c>
      <c r="E19" s="34"/>
    </row>
    <row r="20" spans="1:9" ht="16">
      <c r="A20" s="26">
        <v>19</v>
      </c>
      <c r="B20" s="27" t="s">
        <v>47</v>
      </c>
      <c r="C20" s="27" t="s">
        <v>17</v>
      </c>
      <c r="D20" s="28" t="s">
        <v>48</v>
      </c>
      <c r="E20" s="34"/>
    </row>
    <row r="21" spans="1:9" ht="16">
      <c r="A21" s="26">
        <v>20</v>
      </c>
      <c r="B21" s="27" t="s">
        <v>49</v>
      </c>
      <c r="C21" s="27" t="s">
        <v>11</v>
      </c>
      <c r="D21" s="28" t="s">
        <v>33</v>
      </c>
      <c r="E21" s="28" t="s">
        <v>243</v>
      </c>
      <c r="F21" t="s">
        <v>244</v>
      </c>
      <c r="G21" t="s">
        <v>245</v>
      </c>
      <c r="H21" t="s">
        <v>246</v>
      </c>
      <c r="I21" t="s">
        <v>247</v>
      </c>
    </row>
    <row r="22" spans="1:9" ht="16">
      <c r="A22" s="26">
        <v>21</v>
      </c>
      <c r="B22" s="27" t="s">
        <v>50</v>
      </c>
      <c r="C22" s="27" t="s">
        <v>11</v>
      </c>
      <c r="D22" s="28" t="s">
        <v>51</v>
      </c>
      <c r="E22" s="34"/>
    </row>
    <row r="23" spans="1:9" ht="16">
      <c r="A23" s="26">
        <v>22</v>
      </c>
      <c r="B23" s="27" t="s">
        <v>52</v>
      </c>
      <c r="C23" s="27" t="s">
        <v>14</v>
      </c>
      <c r="D23" s="28" t="s">
        <v>53</v>
      </c>
      <c r="E23" s="34"/>
    </row>
    <row r="24" spans="1:9" ht="16">
      <c r="A24" s="26">
        <v>23</v>
      </c>
      <c r="B24" s="27" t="s">
        <v>54</v>
      </c>
      <c r="C24" s="27" t="s">
        <v>8</v>
      </c>
      <c r="D24" s="28" t="s">
        <v>55</v>
      </c>
      <c r="E24" s="34"/>
    </row>
    <row r="25" spans="1:9" ht="16">
      <c r="A25" s="26">
        <v>24</v>
      </c>
      <c r="B25" s="27" t="s">
        <v>56</v>
      </c>
      <c r="C25" s="27" t="s">
        <v>17</v>
      </c>
      <c r="D25" s="28" t="s">
        <v>57</v>
      </c>
      <c r="E25" s="34"/>
      <c r="F25" s="48" t="s">
        <v>248</v>
      </c>
      <c r="G25" s="49" t="s">
        <v>249</v>
      </c>
      <c r="H25" s="49" t="s">
        <v>250</v>
      </c>
      <c r="I25" s="49" t="s">
        <v>251</v>
      </c>
    </row>
    <row r="26" spans="1:9" ht="16">
      <c r="A26" s="26">
        <v>25</v>
      </c>
      <c r="B26" s="27" t="s">
        <v>58</v>
      </c>
      <c r="C26" s="27" t="s">
        <v>17</v>
      </c>
      <c r="D26" s="28" t="s">
        <v>59</v>
      </c>
      <c r="E26" s="34"/>
    </row>
    <row r="27" spans="1:9" ht="32">
      <c r="A27" s="26">
        <v>26</v>
      </c>
      <c r="B27" s="27" t="s">
        <v>60</v>
      </c>
      <c r="C27" s="27" t="s">
        <v>17</v>
      </c>
      <c r="D27" s="28" t="s">
        <v>61</v>
      </c>
      <c r="E27" s="34"/>
      <c r="F27" s="50" t="s">
        <v>252</v>
      </c>
      <c r="G27" s="51" t="s">
        <v>253</v>
      </c>
      <c r="H27" s="51" t="s">
        <v>254</v>
      </c>
      <c r="I27" s="51" t="s">
        <v>255</v>
      </c>
    </row>
    <row r="28" spans="1:9" ht="16">
      <c r="A28" s="26">
        <v>27</v>
      </c>
      <c r="B28" s="27" t="s">
        <v>62</v>
      </c>
      <c r="C28" s="27" t="s">
        <v>17</v>
      </c>
      <c r="D28" s="28" t="s">
        <v>63</v>
      </c>
      <c r="E28" s="34"/>
    </row>
    <row r="29" spans="1:9" ht="16">
      <c r="A29" s="26">
        <v>28</v>
      </c>
      <c r="B29" s="27" t="s">
        <v>64</v>
      </c>
      <c r="C29" s="27" t="s">
        <v>24</v>
      </c>
      <c r="D29" s="28" t="s">
        <v>65</v>
      </c>
      <c r="E29" s="34"/>
      <c r="F29" s="52" t="s">
        <v>256</v>
      </c>
      <c r="G29" s="53" t="s">
        <v>257</v>
      </c>
      <c r="H29" s="53" t="s">
        <v>258</v>
      </c>
      <c r="I29" s="53" t="s">
        <v>259</v>
      </c>
    </row>
    <row r="30" spans="1:9" ht="16">
      <c r="A30" s="26">
        <v>29</v>
      </c>
      <c r="B30" s="27" t="s">
        <v>66</v>
      </c>
      <c r="C30" s="27" t="s">
        <v>11</v>
      </c>
      <c r="D30" s="28" t="s">
        <v>67</v>
      </c>
      <c r="E30" s="34"/>
    </row>
    <row r="31" spans="1:9" ht="16">
      <c r="A31" s="30">
        <v>30</v>
      </c>
      <c r="B31" s="31" t="s">
        <v>68</v>
      </c>
      <c r="C31" s="31" t="s">
        <v>14</v>
      </c>
      <c r="D31" s="32" t="s">
        <v>69</v>
      </c>
      <c r="E31" s="34"/>
    </row>
  </sheetData>
  <phoneticPr fontId="7" type="noConversion"/>
  <dataValidations count="1">
    <dataValidation type="list" allowBlank="1" showInputMessage="1" showErrorMessage="1" sqref="H5" xr:uid="{5C0861D3-2504-40E8-A320-0628CDAF8B3F}">
      <formula1>$D$6</formula1>
    </dataValidation>
  </dataValidations>
  <hyperlinks>
    <hyperlink ref="D17" r:id="rId1" display="mailto:abc@gmail.com" xr:uid="{CE299733-54A2-450B-B8E4-5833C56AE6F8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D88B-4079-494F-AA0F-FA061AE0BCE6}">
  <dimension ref="A1:AD1"/>
  <sheetViews>
    <sheetView zoomScale="90" zoomScaleNormal="90" workbookViewId="0">
      <selection activeCell="N2" sqref="N2"/>
    </sheetView>
  </sheetViews>
  <sheetFormatPr defaultRowHeight="14.5"/>
  <cols>
    <col min="1" max="1" width="15.1796875" customWidth="1"/>
    <col min="2" max="2" width="18.453125" customWidth="1"/>
    <col min="5" max="6" width="14" customWidth="1"/>
    <col min="7" max="7" width="9.81640625" customWidth="1"/>
    <col min="8" max="8" width="14.7265625" customWidth="1"/>
    <col min="9" max="9" width="15.54296875" customWidth="1"/>
    <col min="10" max="10" width="17.1796875" customWidth="1"/>
    <col min="11" max="11" width="16.1796875" customWidth="1"/>
    <col min="12" max="12" width="24.7265625" customWidth="1"/>
    <col min="13" max="13" width="21.7265625" customWidth="1"/>
    <col min="14" max="14" width="21.1796875" customWidth="1"/>
    <col min="15" max="15" width="19.453125" customWidth="1"/>
    <col min="16" max="16" width="11.453125" customWidth="1"/>
    <col min="17" max="17" width="17.1796875" customWidth="1"/>
    <col min="19" max="19" width="14" customWidth="1"/>
    <col min="20" max="20" width="16.81640625" customWidth="1"/>
    <col min="21" max="21" width="13.81640625" customWidth="1"/>
    <col min="22" max="22" width="20" customWidth="1"/>
    <col min="23" max="23" width="17.7265625" customWidth="1"/>
    <col min="24" max="24" width="19.7265625" customWidth="1"/>
    <col min="25" max="25" width="17.26953125" customWidth="1"/>
    <col min="26" max="26" width="16.54296875" customWidth="1"/>
    <col min="27" max="27" width="10" customWidth="1"/>
    <col min="28" max="28" width="14.81640625" customWidth="1"/>
    <col min="29" max="29" width="16.81640625" customWidth="1"/>
    <col min="30" max="30" width="24" customWidth="1"/>
  </cols>
  <sheetData>
    <row r="1" spans="1:30" ht="16">
      <c r="A1" s="33" t="s">
        <v>4</v>
      </c>
      <c r="B1" s="33" t="s">
        <v>7</v>
      </c>
      <c r="C1" s="33" t="s">
        <v>10</v>
      </c>
      <c r="D1" s="33" t="s">
        <v>13</v>
      </c>
      <c r="E1" s="33" t="s">
        <v>16</v>
      </c>
      <c r="F1" s="33" t="s">
        <v>19</v>
      </c>
      <c r="G1" s="33" t="s">
        <v>21</v>
      </c>
      <c r="H1" s="33" t="s">
        <v>23</v>
      </c>
      <c r="I1" s="33" t="s">
        <v>26</v>
      </c>
      <c r="J1" s="33" t="s">
        <v>28</v>
      </c>
      <c r="K1" s="33" t="s">
        <v>30</v>
      </c>
      <c r="L1" s="33" t="s">
        <v>32</v>
      </c>
      <c r="M1" s="33" t="s">
        <v>34</v>
      </c>
      <c r="N1" s="33" t="s">
        <v>36</v>
      </c>
      <c r="O1" s="33" t="s">
        <v>38</v>
      </c>
      <c r="P1" s="33" t="s">
        <v>40</v>
      </c>
      <c r="Q1" s="33" t="s">
        <v>43</v>
      </c>
      <c r="R1" s="33" t="s">
        <v>45</v>
      </c>
      <c r="S1" s="33" t="s">
        <v>47</v>
      </c>
      <c r="T1" s="33" t="s">
        <v>49</v>
      </c>
      <c r="U1" s="33" t="s">
        <v>50</v>
      </c>
      <c r="V1" s="33" t="s">
        <v>52</v>
      </c>
      <c r="W1" s="33" t="s">
        <v>54</v>
      </c>
      <c r="X1" s="33" t="s">
        <v>56</v>
      </c>
      <c r="Y1" s="33" t="s">
        <v>58</v>
      </c>
      <c r="Z1" s="33" t="s">
        <v>60</v>
      </c>
      <c r="AA1" s="33" t="s">
        <v>62</v>
      </c>
      <c r="AB1" s="33" t="s">
        <v>64</v>
      </c>
      <c r="AC1" s="33" t="s">
        <v>66</v>
      </c>
      <c r="AD1" s="33" t="s">
        <v>68</v>
      </c>
    </row>
  </sheetData>
  <dataValidations count="20">
    <dataValidation type="date" operator="greaterThan" allowBlank="1" showInputMessage="1" showErrorMessage="1" sqref="H2:H31" xr:uid="{97175988-1A98-4D86-9F56-6B9A5E3F8256}">
      <formula1>43831</formula1>
    </dataValidation>
    <dataValidation type="date" allowBlank="1" showInputMessage="1" showErrorMessage="1" sqref="I2:I31" xr:uid="{1C60AFEB-D792-4702-9B78-0C5DDC4FAB2A}">
      <formula1>23743</formula1>
      <formula2>39813</formula2>
    </dataValidation>
    <dataValidation type="textLength" allowBlank="1" showInputMessage="1" showErrorMessage="1" sqref="A2:A31" xr:uid="{0C9808BF-0C46-4F2E-917A-AED90026D6C4}">
      <formula1>1</formula1>
      <formula2>6</formula2>
    </dataValidation>
    <dataValidation type="textLength" allowBlank="1" showInputMessage="1" showErrorMessage="1" sqref="B2:B31" xr:uid="{47BB1FF1-9278-49EF-842F-01D438793059}">
      <formula1>1</formula1>
      <formula2>15</formula2>
    </dataValidation>
    <dataValidation type="whole" allowBlank="1" showInputMessage="1" showErrorMessage="1" sqref="C2:C31" xr:uid="{8DE811EE-1B78-4DCF-9360-B9D8FFA31B4B}">
      <formula1>18</formula1>
      <formula2>60</formula2>
    </dataValidation>
    <dataValidation type="decimal" allowBlank="1" showInputMessage="1" showErrorMessage="1" sqref="D2:D31" xr:uid="{05564EEC-AA3E-4F48-AAF1-E2F505709EE4}">
      <formula1>15000</formula1>
      <formula2>150000</formula2>
    </dataValidation>
    <dataValidation type="decimal" allowBlank="1" showInputMessage="1" showErrorMessage="1" sqref="J2:J32" xr:uid="{C50016E8-3D48-4F6E-ACC2-5762ABF45F8C}">
      <formula1>1</formula1>
      <formula2>12</formula2>
    </dataValidation>
    <dataValidation type="whole" allowBlank="1" showInputMessage="1" showErrorMessage="1" sqref="K2:K32" xr:uid="{5DDA7238-CDF5-4F8F-AA0A-818981C90F08}">
      <formula1>1</formula1>
      <formula2>31</formula2>
    </dataValidation>
    <dataValidation type="decimal" allowBlank="1" showInputMessage="1" showErrorMessage="1" sqref="L2:L32" xr:uid="{2ABF81D5-4794-4313-85F4-E2C1C9D3F72A}">
      <formula1>0</formula1>
      <formula2>100</formula2>
    </dataValidation>
    <dataValidation type="decimal" allowBlank="1" showInputMessage="1" showErrorMessage="1" sqref="M2:M32" xr:uid="{28D549A1-3C76-4F89-9732-F143DDEA5D7D}">
      <formula1>1</formula1>
      <formula2>5</formula2>
    </dataValidation>
    <dataValidation type="whole" allowBlank="1" showInputMessage="1" showErrorMessage="1" sqref="O2:O25" xr:uid="{D2279809-7148-4108-8B1D-A1A1A429DCF4}">
      <formula1>0</formula1>
      <formula2>40</formula2>
    </dataValidation>
    <dataValidation type="custom" allowBlank="1" showInputMessage="1" showErrorMessage="1" sqref="P2:P32" xr:uid="{A364186F-418C-42CF-B487-8A9DE8930DC9}">
      <formula1>AND(P2&lt;&gt;"",RIGHT(P2,10)="@gmail.com")</formula1>
    </dataValidation>
    <dataValidation type="textLength" operator="equal" allowBlank="1" showInputMessage="1" showErrorMessage="1" sqref="Q2:Q31" xr:uid="{97B6C442-6139-4F39-B7B1-C009819F4C5C}">
      <formula1>10</formula1>
    </dataValidation>
    <dataValidation type="whole" allowBlank="1" showInputMessage="1" showErrorMessage="1" sqref="T2:T30" xr:uid="{7C2ACE31-03CA-4295-9FDB-727C08C8B8C9}">
      <formula1>0</formula1>
      <formula2>100</formula2>
    </dataValidation>
    <dataValidation type="whole" allowBlank="1" showInputMessage="1" showErrorMessage="1" sqref="U2:U31" xr:uid="{9484528E-AB64-403A-9D34-64A3C0AB4B8E}">
      <formula1>0</formula1>
      <formula2>30</formula2>
    </dataValidation>
    <dataValidation type="decimal" allowBlank="1" showInputMessage="1" showErrorMessage="1" sqref="V2:V31" xr:uid="{EDC2DB06-7782-46CA-87FE-6CD8F5E96F64}">
      <formula1>0</formula1>
      <formula2>50</formula2>
    </dataValidation>
    <dataValidation type="textLength" operator="equal" allowBlank="1" showInputMessage="1" showErrorMessage="1" sqref="W2:W31" xr:uid="{4675C34D-C951-4B63-961D-7F5F01C1C916}">
      <formula1>6</formula1>
    </dataValidation>
    <dataValidation type="date" operator="equal" allowBlank="1" showInputMessage="1" showErrorMessage="1" sqref="AB2:AB31" xr:uid="{4D0EA16C-17A9-4579-B13D-D03160F5B3CD}">
      <formula1>46246</formula1>
    </dataValidation>
    <dataValidation type="whole" allowBlank="1" showInputMessage="1" showErrorMessage="1" sqref="AC2:AC31" xr:uid="{47A21F20-3019-4E01-B952-AE4991700D1E}">
      <formula1>10</formula1>
      <formula2>1000</formula2>
    </dataValidation>
    <dataValidation type="decimal" allowBlank="1" showInputMessage="1" showErrorMessage="1" sqref="AD2:AD31" xr:uid="{47E09ED4-41AA-4764-86F5-C8A01C546E5F}">
      <formula1>1</formula1>
      <formula2>10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C7B300E-673A-4901-AC68-AA3F50030206}">
          <x14:formula1>
            <xm:f>TASK!$F$1:$J$1</xm:f>
          </x14:formula1>
          <xm:sqref>E2:E31</xm:sqref>
        </x14:dataValidation>
        <x14:dataValidation type="list" allowBlank="1" showInputMessage="1" showErrorMessage="1" xr:uid="{6025043A-8B0A-4CEF-B8D5-18D17F449BC8}">
          <x14:formula1>
            <xm:f>TASK!$F$4:$I$4</xm:f>
          </x14:formula1>
          <xm:sqref>F2</xm:sqref>
        </x14:dataValidation>
        <x14:dataValidation type="list" allowBlank="1" showInputMessage="1" showErrorMessage="1" xr:uid="{84534B2D-3D73-4978-885A-283AB8EFE98E}">
          <x14:formula1>
            <xm:f>TASK!$F$6:$H$6</xm:f>
          </x14:formula1>
          <xm:sqref>G2</xm:sqref>
        </x14:dataValidation>
        <x14:dataValidation type="list" allowBlank="1" showInputMessage="1" showErrorMessage="1" xr:uid="{441937CA-FFEB-4470-B78A-31D94B030CC7}">
          <x14:formula1>
            <xm:f>TASK!$F$10:$J$10</xm:f>
          </x14:formula1>
          <xm:sqref>N2</xm:sqref>
        </x14:dataValidation>
        <x14:dataValidation type="list" allowBlank="1" showInputMessage="1" showErrorMessage="1" xr:uid="{FF40BE19-C35A-4B36-A494-E0FB54B87C4F}">
          <x14:formula1>
            <xm:f>TASK!$F$13:$J$13</xm:f>
          </x14:formula1>
          <xm:sqref>R2</xm:sqref>
        </x14:dataValidation>
        <x14:dataValidation type="list" allowBlank="1" showInputMessage="1" showErrorMessage="1" xr:uid="{0EF5172B-C7B0-41CC-BD4D-88053B400B24}">
          <x14:formula1>
            <xm:f>TASK!$F$15:$H$15</xm:f>
          </x14:formula1>
          <xm:sqref>S2</xm:sqref>
        </x14:dataValidation>
        <x14:dataValidation type="list" allowBlank="1" showInputMessage="1" showErrorMessage="1" xr:uid="{D016A063-5732-4AB9-A779-CF2DA895A7A8}">
          <x14:formula1>
            <xm:f>TASK!$E$21:$I$21</xm:f>
          </x14:formula1>
          <xm:sqref>X2</xm:sqref>
        </x14:dataValidation>
        <x14:dataValidation type="list" allowBlank="1" showInputMessage="1" showErrorMessage="1" xr:uid="{F5106829-5745-4927-95D7-8EDFB8B55FE6}">
          <x14:formula1>
            <xm:f>TASK!$F$25:$I$25</xm:f>
          </x14:formula1>
          <xm:sqref>Y2</xm:sqref>
        </x14:dataValidation>
        <x14:dataValidation type="list" allowBlank="1" showInputMessage="1" showErrorMessage="1" xr:uid="{5C257FFD-9402-478D-87FB-40968FBB0506}">
          <x14:formula1>
            <xm:f>TASK!$F$27:$I$27</xm:f>
          </x14:formula1>
          <xm:sqref>Z2</xm:sqref>
        </x14:dataValidation>
        <x14:dataValidation type="list" allowBlank="1" showInputMessage="1" showErrorMessage="1" xr:uid="{F43E8FD0-7AEF-4672-A60B-B5981886A0B3}">
          <x14:formula1>
            <xm:f>TASK!$F$29:$I$29</xm:f>
          </x14:formula1>
          <xm:sqref>AA2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ADA5-AEAE-4D17-BE3C-6A4CC23989F1}">
  <dimension ref="A1:X2"/>
  <sheetViews>
    <sheetView tabSelected="1" workbookViewId="0">
      <selection activeCell="B2" sqref="B2"/>
    </sheetView>
  </sheetViews>
  <sheetFormatPr defaultRowHeight="14.5"/>
  <cols>
    <col min="1" max="1" width="13.6328125" customWidth="1"/>
    <col min="2" max="2" width="16.7265625" customWidth="1"/>
    <col min="3" max="3" width="13.81640625" customWidth="1"/>
    <col min="4" max="4" width="11.36328125" customWidth="1"/>
    <col min="5" max="5" width="15.6328125" customWidth="1"/>
    <col min="6" max="6" width="14.54296875" customWidth="1"/>
    <col min="7" max="7" width="16.453125" customWidth="1"/>
    <col min="8" max="8" width="13.36328125" customWidth="1"/>
    <col min="9" max="9" width="11.54296875" customWidth="1"/>
    <col min="10" max="10" width="10.7265625" customWidth="1"/>
    <col min="11" max="11" width="14.54296875" customWidth="1"/>
    <col min="12" max="12" width="12.54296875" customWidth="1"/>
    <col min="13" max="13" width="10" customWidth="1"/>
    <col min="14" max="14" width="17.6328125" customWidth="1"/>
    <col min="15" max="15" width="15.7265625" customWidth="1"/>
    <col min="16" max="16" width="17" customWidth="1"/>
    <col min="17" max="17" width="15.90625" customWidth="1"/>
    <col min="21" max="24" width="10.453125" customWidth="1"/>
  </cols>
  <sheetData>
    <row r="1" spans="1:24">
      <c r="A1" t="s">
        <v>4</v>
      </c>
      <c r="B1" t="s">
        <v>7</v>
      </c>
      <c r="C1" t="s">
        <v>260</v>
      </c>
      <c r="D1" t="s">
        <v>261</v>
      </c>
      <c r="E1" t="s">
        <v>43</v>
      </c>
      <c r="F1" t="s">
        <v>262</v>
      </c>
      <c r="G1" t="s">
        <v>263</v>
      </c>
      <c r="H1" t="s">
        <v>23</v>
      </c>
      <c r="I1" t="s">
        <v>264</v>
      </c>
      <c r="J1" t="s">
        <v>265</v>
      </c>
      <c r="K1" t="s">
        <v>30</v>
      </c>
      <c r="L1" t="s">
        <v>50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10</v>
      </c>
      <c r="S1" t="s">
        <v>271</v>
      </c>
      <c r="T1" t="s">
        <v>272</v>
      </c>
      <c r="U1" t="s">
        <v>242</v>
      </c>
      <c r="V1" t="s">
        <v>273</v>
      </c>
      <c r="W1" t="s">
        <v>274</v>
      </c>
      <c r="X1" t="s">
        <v>275</v>
      </c>
    </row>
    <row r="2" spans="1:24">
      <c r="C2" s="54"/>
    </row>
  </sheetData>
  <dataValidations count="4">
    <dataValidation type="custom" allowBlank="1" showInputMessage="1" showErrorMessage="1" sqref="A1" xr:uid="{E232DFDD-6E99-4D5B-B111-7E2FFA78FAEF}">
      <formula1>AND(LEFT(A2,3)="EMP",LEN(A2)=6)</formula1>
    </dataValidation>
    <dataValidation type="custom" allowBlank="1" showInputMessage="1" showErrorMessage="1" sqref="A2:A16" xr:uid="{ECB53340-803C-4C62-937C-FA2BE9802A09}">
      <formula1>AND(LEFT(A2,3)="EMP",LEN(A2)=6)</formula1>
    </dataValidation>
    <dataValidation type="custom" allowBlank="1" showInputMessage="1" showErrorMessage="1" sqref="C2:C16" xr:uid="{B1415D56-4B2B-48FD-9DFF-17FCC3009285}">
      <formula1>AND(ISNUMBER(SEARCH("@",C2)),ISNUMBER(SEARCH(".",C2)))</formula1>
    </dataValidation>
    <dataValidation type="custom" allowBlank="1" showInputMessage="1" showErrorMessage="1" sqref="B2:B16" xr:uid="{7EA7BA02-BEA7-47CF-8454-7B8C39FD582C}">
      <formula1>ISERROR(SEARCH(" ",B2))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20A1-96D7-4F5A-937C-E2142812ABE1}">
  <dimension ref="A1:C277"/>
  <sheetViews>
    <sheetView showGridLines="0" workbookViewId="0">
      <selection activeCell="F225" sqref="F225"/>
    </sheetView>
  </sheetViews>
  <sheetFormatPr defaultRowHeight="14.5"/>
  <cols>
    <col min="1" max="1" width="27.54296875" customWidth="1"/>
    <col min="2" max="2" width="39.1796875" customWidth="1"/>
    <col min="3" max="3" width="25.7265625" customWidth="1"/>
  </cols>
  <sheetData>
    <row r="1" spans="1:3" ht="31">
      <c r="A1" s="3" t="s">
        <v>70</v>
      </c>
    </row>
    <row r="3" spans="1:3" ht="17.5">
      <c r="A3" s="4" t="s">
        <v>71</v>
      </c>
    </row>
    <row r="5" spans="1:3">
      <c r="A5" s="5" t="s">
        <v>72</v>
      </c>
    </row>
    <row r="7" spans="1:3">
      <c r="A7" s="5" t="s">
        <v>73</v>
      </c>
    </row>
    <row r="11" spans="1:3" ht="23.5">
      <c r="A11" s="6" t="s">
        <v>74</v>
      </c>
      <c r="B11" s="7"/>
      <c r="C11" s="7"/>
    </row>
    <row r="12" spans="1:3">
      <c r="A12" s="7"/>
      <c r="B12" s="7"/>
      <c r="C12" s="7"/>
    </row>
    <row r="13" spans="1:3">
      <c r="A13" s="8" t="s">
        <v>75</v>
      </c>
      <c r="B13" s="8" t="s">
        <v>76</v>
      </c>
      <c r="C13" s="8" t="s">
        <v>77</v>
      </c>
    </row>
    <row r="14" spans="1:3">
      <c r="A14" s="8" t="s">
        <v>78</v>
      </c>
      <c r="B14" s="9" t="s">
        <v>79</v>
      </c>
      <c r="C14" s="9" t="s">
        <v>80</v>
      </c>
    </row>
    <row r="15" spans="1:3">
      <c r="A15" s="8" t="s">
        <v>11</v>
      </c>
      <c r="B15" s="9" t="s">
        <v>81</v>
      </c>
      <c r="C15" s="9" t="s">
        <v>82</v>
      </c>
    </row>
    <row r="16" spans="1:3">
      <c r="A16" s="8" t="s">
        <v>14</v>
      </c>
      <c r="B16" s="9" t="s">
        <v>83</v>
      </c>
      <c r="C16" s="9" t="s">
        <v>84</v>
      </c>
    </row>
    <row r="17" spans="1:3">
      <c r="A17" s="8" t="s">
        <v>17</v>
      </c>
      <c r="B17" s="9" t="s">
        <v>85</v>
      </c>
      <c r="C17" s="9" t="s">
        <v>86</v>
      </c>
    </row>
    <row r="18" spans="1:3">
      <c r="A18" s="8" t="s">
        <v>24</v>
      </c>
      <c r="B18" s="9" t="s">
        <v>87</v>
      </c>
      <c r="C18" s="9" t="s">
        <v>88</v>
      </c>
    </row>
    <row r="19" spans="1:3">
      <c r="A19" s="8" t="s">
        <v>89</v>
      </c>
      <c r="B19" s="9" t="s">
        <v>90</v>
      </c>
      <c r="C19" s="9" t="s">
        <v>91</v>
      </c>
    </row>
    <row r="20" spans="1:3">
      <c r="A20" s="8" t="s">
        <v>8</v>
      </c>
      <c r="B20" s="9" t="s">
        <v>92</v>
      </c>
      <c r="C20" s="9" t="s">
        <v>93</v>
      </c>
    </row>
    <row r="21" spans="1:3">
      <c r="A21" s="8" t="s">
        <v>41</v>
      </c>
      <c r="B21" s="9" t="s">
        <v>94</v>
      </c>
      <c r="C21" s="9" t="s">
        <v>95</v>
      </c>
    </row>
    <row r="22" spans="1:3">
      <c r="A22" s="7"/>
      <c r="B22" s="7"/>
      <c r="C22" s="7"/>
    </row>
    <row r="23" spans="1:3">
      <c r="A23" s="7"/>
      <c r="B23" s="7"/>
      <c r="C23" s="7"/>
    </row>
    <row r="24" spans="1:3" ht="23.5">
      <c r="A24" s="10" t="s">
        <v>96</v>
      </c>
      <c r="B24" s="7"/>
      <c r="C24" s="7"/>
    </row>
    <row r="25" spans="1:3">
      <c r="A25" s="7"/>
      <c r="B25" s="7"/>
      <c r="C25" s="7"/>
    </row>
    <row r="26" spans="1:3">
      <c r="A26" s="8" t="s">
        <v>97</v>
      </c>
      <c r="B26" s="8" t="s">
        <v>98</v>
      </c>
      <c r="C26" s="7"/>
    </row>
    <row r="27" spans="1:3">
      <c r="A27" s="9" t="s">
        <v>99</v>
      </c>
      <c r="B27" s="9" t="s">
        <v>100</v>
      </c>
      <c r="C27" s="7"/>
    </row>
    <row r="28" spans="1:3">
      <c r="A28" s="9" t="s">
        <v>101</v>
      </c>
      <c r="B28" s="9" t="s">
        <v>102</v>
      </c>
      <c r="C28" s="7"/>
    </row>
    <row r="29" spans="1:3">
      <c r="A29" s="9" t="s">
        <v>103</v>
      </c>
      <c r="B29" s="9" t="s">
        <v>104</v>
      </c>
      <c r="C29" s="7"/>
    </row>
    <row r="30" spans="1:3">
      <c r="A30" s="9" t="s">
        <v>105</v>
      </c>
      <c r="B30" s="9" t="s">
        <v>106</v>
      </c>
      <c r="C30" s="7"/>
    </row>
    <row r="31" spans="1:3">
      <c r="A31" s="9" t="s">
        <v>107</v>
      </c>
      <c r="B31" s="9" t="s">
        <v>108</v>
      </c>
      <c r="C31" s="7"/>
    </row>
    <row r="32" spans="1:3">
      <c r="A32" s="9" t="s">
        <v>109</v>
      </c>
      <c r="B32" s="9" t="s">
        <v>110</v>
      </c>
      <c r="C32" s="7"/>
    </row>
    <row r="33" spans="1:3">
      <c r="A33" s="9" t="s">
        <v>111</v>
      </c>
      <c r="B33" s="9" t="s">
        <v>112</v>
      </c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  <row r="38" spans="1:3" ht="23.5">
      <c r="A38" s="10" t="s">
        <v>114</v>
      </c>
      <c r="B38" s="7"/>
      <c r="C38" s="7"/>
    </row>
    <row r="39" spans="1:3">
      <c r="A39" s="7"/>
      <c r="B39" s="7"/>
      <c r="C39" s="7"/>
    </row>
    <row r="40" spans="1:3">
      <c r="A40" s="14" t="s">
        <v>115</v>
      </c>
      <c r="B40" s="7"/>
      <c r="C40" s="7"/>
    </row>
    <row r="41" spans="1:3">
      <c r="A41" s="7"/>
      <c r="B41" s="7"/>
      <c r="C41" s="7"/>
    </row>
    <row r="42" spans="1:3">
      <c r="A42" s="11" t="s">
        <v>116</v>
      </c>
      <c r="B42" s="7"/>
      <c r="C42" s="7"/>
    </row>
    <row r="43" spans="1:3">
      <c r="A43" s="12" t="s">
        <v>117</v>
      </c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 ht="23.5">
      <c r="A47" s="10" t="s">
        <v>118</v>
      </c>
      <c r="B47" s="7"/>
      <c r="C47" s="7"/>
    </row>
    <row r="48" spans="1:3">
      <c r="A48" s="7"/>
      <c r="B48" s="7"/>
      <c r="C48" s="7"/>
    </row>
    <row r="49" spans="1:3">
      <c r="A49" s="8" t="s">
        <v>119</v>
      </c>
      <c r="B49" s="8" t="s">
        <v>120</v>
      </c>
      <c r="C49" s="7"/>
    </row>
    <row r="50" spans="1:3">
      <c r="A50" s="8" t="s">
        <v>121</v>
      </c>
      <c r="B50" s="9" t="s">
        <v>122</v>
      </c>
      <c r="C50" s="7"/>
    </row>
    <row r="51" spans="1:3">
      <c r="A51" s="8" t="s">
        <v>123</v>
      </c>
      <c r="B51" s="9" t="s">
        <v>124</v>
      </c>
      <c r="C51" s="7"/>
    </row>
    <row r="52" spans="1:3">
      <c r="A52" s="8" t="s">
        <v>125</v>
      </c>
      <c r="B52" s="9" t="s">
        <v>126</v>
      </c>
      <c r="C52" s="7"/>
    </row>
    <row r="53" spans="1:3">
      <c r="A53" s="7"/>
      <c r="B53" s="7"/>
      <c r="C53" s="7"/>
    </row>
    <row r="54" spans="1:3">
      <c r="A54" s="7"/>
      <c r="B54" s="7"/>
      <c r="C54" s="7"/>
    </row>
    <row r="55" spans="1:3" ht="17.5">
      <c r="A55" s="13" t="s">
        <v>127</v>
      </c>
      <c r="B55" s="7"/>
      <c r="C55" s="7"/>
    </row>
    <row r="57" spans="1:3">
      <c r="A57" s="5" t="s">
        <v>128</v>
      </c>
    </row>
    <row r="58" spans="1:3">
      <c r="A58" s="5" t="s">
        <v>129</v>
      </c>
    </row>
    <row r="59" spans="1:3">
      <c r="A59" s="5" t="s">
        <v>130</v>
      </c>
    </row>
    <row r="60" spans="1:3">
      <c r="A60" s="5" t="s">
        <v>131</v>
      </c>
    </row>
    <row r="61" spans="1:3">
      <c r="A61" s="5" t="s">
        <v>132</v>
      </c>
    </row>
    <row r="62" spans="1:3">
      <c r="A62" s="5" t="s">
        <v>133</v>
      </c>
    </row>
    <row r="63" spans="1:3">
      <c r="A63" s="5" t="s">
        <v>134</v>
      </c>
    </row>
    <row r="64" spans="1:3">
      <c r="A64" s="5" t="s">
        <v>135</v>
      </c>
    </row>
    <row r="65" spans="1:1">
      <c r="A65" s="5" t="s">
        <v>136</v>
      </c>
    </row>
    <row r="68" spans="1:1" ht="31">
      <c r="A68" s="3" t="s">
        <v>137</v>
      </c>
    </row>
    <row r="70" spans="1:1" ht="17.5">
      <c r="A70" s="4" t="s">
        <v>138</v>
      </c>
    </row>
    <row r="72" spans="1:1">
      <c r="A72" s="5" t="s">
        <v>139</v>
      </c>
    </row>
    <row r="74" spans="1:1">
      <c r="A74" s="5" t="s">
        <v>140</v>
      </c>
    </row>
    <row r="75" spans="1:1">
      <c r="A75" s="16" t="s">
        <v>141</v>
      </c>
    </row>
    <row r="77" spans="1:1">
      <c r="A77" t="s">
        <v>142</v>
      </c>
    </row>
    <row r="78" spans="1:1">
      <c r="A78" s="17"/>
    </row>
    <row r="79" spans="1:1">
      <c r="A79" s="18" t="s">
        <v>143</v>
      </c>
    </row>
    <row r="80" spans="1:1">
      <c r="A80" s="17"/>
    </row>
    <row r="81" spans="1:2">
      <c r="A81" s="18" t="s">
        <v>144</v>
      </c>
    </row>
    <row r="85" spans="1:2" ht="23.5">
      <c r="A85" s="19" t="s">
        <v>145</v>
      </c>
    </row>
    <row r="87" spans="1:2">
      <c r="A87" s="8" t="s">
        <v>146</v>
      </c>
      <c r="B87" s="8" t="s">
        <v>147</v>
      </c>
    </row>
    <row r="88" spans="1:2">
      <c r="A88" s="15" t="s">
        <v>148</v>
      </c>
      <c r="B88" s="22" t="b">
        <f>A2&gt;0</f>
        <v>0</v>
      </c>
    </row>
    <row r="89" spans="1:2">
      <c r="A89" s="15" t="s">
        <v>149</v>
      </c>
      <c r="B89" s="22" t="b">
        <f>A2&gt;=18</f>
        <v>0</v>
      </c>
    </row>
    <row r="90" spans="1:2">
      <c r="A90" s="15" t="s">
        <v>150</v>
      </c>
      <c r="B90" s="22" t="b">
        <f>A2&lt;100</f>
        <v>1</v>
      </c>
    </row>
    <row r="91" spans="1:2">
      <c r="A91" s="15" t="s">
        <v>151</v>
      </c>
      <c r="B91" s="22" t="b">
        <f>A2&lt;&gt;""</f>
        <v>0</v>
      </c>
    </row>
    <row r="92" spans="1:2">
      <c r="A92" s="15" t="s">
        <v>152</v>
      </c>
      <c r="B92" s="22" t="b">
        <f>A2="Yes"</f>
        <v>0</v>
      </c>
    </row>
    <row r="93" spans="1:2">
      <c r="A93" s="15" t="s">
        <v>153</v>
      </c>
      <c r="B93" s="22" t="b">
        <f>A2="Active"</f>
        <v>0</v>
      </c>
    </row>
    <row r="96" spans="1:2" ht="23.5">
      <c r="A96" s="19" t="s">
        <v>154</v>
      </c>
    </row>
    <row r="98" spans="1:1">
      <c r="A98" t="s">
        <v>155</v>
      </c>
    </row>
    <row r="100" spans="1:1" ht="17.5">
      <c r="A100" s="4" t="s">
        <v>156</v>
      </c>
    </row>
    <row r="102" spans="1:1">
      <c r="A102" s="21" t="b">
        <f>AND(A2&gt;=18,A2&lt;=60)</f>
        <v>0</v>
      </c>
    </row>
    <row r="104" spans="1:1">
      <c r="A104" t="s">
        <v>157</v>
      </c>
    </row>
    <row r="106" spans="1:1" ht="17.5">
      <c r="A106" s="4" t="s">
        <v>158</v>
      </c>
    </row>
    <row r="108" spans="1:1">
      <c r="A108" s="21" t="b">
        <f>AND(A2&gt;=15000,A2&lt;=100000)</f>
        <v>0</v>
      </c>
    </row>
    <row r="112" spans="1:1" ht="23.5">
      <c r="A112" s="19" t="s">
        <v>159</v>
      </c>
    </row>
    <row r="114" spans="1:1">
      <c r="A114" t="s">
        <v>160</v>
      </c>
    </row>
    <row r="116" spans="1:1" ht="17.5">
      <c r="A116" s="4" t="s">
        <v>161</v>
      </c>
    </row>
    <row r="118" spans="1:1">
      <c r="A118" s="21" t="b">
        <f>OR(A2="HR",A2="IT")</f>
        <v>0</v>
      </c>
    </row>
    <row r="120" spans="1:1" ht="17.5">
      <c r="A120" s="4" t="s">
        <v>162</v>
      </c>
    </row>
    <row r="122" spans="1:1">
      <c r="A122" s="21" t="b">
        <f>OR(A2="Active",A2="On Leave")</f>
        <v>0</v>
      </c>
    </row>
    <row r="126" spans="1:1" ht="23.5">
      <c r="A126" s="19" t="s">
        <v>163</v>
      </c>
    </row>
    <row r="128" spans="1:1" ht="17.5">
      <c r="A128" s="4" t="s">
        <v>164</v>
      </c>
    </row>
    <row r="130" spans="1:1">
      <c r="A130" s="21" t="b">
        <f>LEFT(A2,3)="EMP"</f>
        <v>0</v>
      </c>
    </row>
    <row r="132" spans="1:1" ht="17.5">
      <c r="A132" s="4" t="s">
        <v>165</v>
      </c>
    </row>
    <row r="134" spans="1:1">
      <c r="A134" s="21" t="b">
        <f>RIGHT(A2,3)="001"</f>
        <v>0</v>
      </c>
    </row>
    <row r="136" spans="1:1" ht="17.5">
      <c r="A136" s="4" t="s">
        <v>166</v>
      </c>
    </row>
    <row r="138" spans="1:1">
      <c r="A138" s="21" t="b">
        <f>ISNUMBER(SEARCH("India",A2))</f>
        <v>0</v>
      </c>
    </row>
    <row r="142" spans="1:1" ht="23.5">
      <c r="A142" s="19" t="s">
        <v>167</v>
      </c>
    </row>
    <row r="144" spans="1:1" ht="17.5">
      <c r="A144" s="4" t="s">
        <v>55</v>
      </c>
    </row>
    <row r="146" spans="1:1">
      <c r="A146" s="21" t="b">
        <f>LEN(A2)=6</f>
        <v>0</v>
      </c>
    </row>
    <row r="148" spans="1:1" ht="17.5">
      <c r="A148" s="4" t="s">
        <v>168</v>
      </c>
    </row>
    <row r="150" spans="1:1">
      <c r="A150" s="21" t="b">
        <f>LEN(A2)&lt;=20</f>
        <v>1</v>
      </c>
    </row>
    <row r="152" spans="1:1" ht="17.5">
      <c r="A152" s="4" t="s">
        <v>169</v>
      </c>
    </row>
    <row r="154" spans="1:1">
      <c r="A154" s="21" t="b">
        <f>LEN(A2)&gt;=5</f>
        <v>0</v>
      </c>
    </row>
    <row r="158" spans="1:1" ht="23.5">
      <c r="A158" s="19" t="s">
        <v>170</v>
      </c>
    </row>
    <row r="160" spans="1:1">
      <c r="A160" t="s">
        <v>171</v>
      </c>
    </row>
    <row r="162" spans="1:1">
      <c r="A162" s="21" t="b">
        <f>COUNTIF($A$2:$A$100,A2)=1</f>
        <v>0</v>
      </c>
    </row>
    <row r="164" spans="1:1">
      <c r="A164" t="s">
        <v>172</v>
      </c>
    </row>
    <row r="168" spans="1:1" ht="23.5">
      <c r="A168" s="19" t="s">
        <v>173</v>
      </c>
    </row>
    <row r="170" spans="1:1">
      <c r="A170" s="21" t="b">
        <f>A2&lt;&gt;""</f>
        <v>0</v>
      </c>
    </row>
    <row r="172" spans="1:1">
      <c r="A172" t="s">
        <v>174</v>
      </c>
    </row>
    <row r="173" spans="1:1">
      <c r="A173" s="17"/>
    </row>
    <row r="174" spans="1:1">
      <c r="A174" s="17" t="s">
        <v>175</v>
      </c>
    </row>
    <row r="175" spans="1:1">
      <c r="A175" s="17"/>
    </row>
    <row r="176" spans="1:1">
      <c r="A176" s="17" t="s">
        <v>176</v>
      </c>
    </row>
    <row r="177" spans="1:1">
      <c r="A177" s="17"/>
    </row>
    <row r="178" spans="1:1">
      <c r="A178" s="17" t="s">
        <v>177</v>
      </c>
    </row>
    <row r="179" spans="1:1">
      <c r="A179" s="17"/>
    </row>
    <row r="180" spans="1:1">
      <c r="A180" s="17" t="s">
        <v>178</v>
      </c>
    </row>
    <row r="184" spans="1:1" ht="23.5">
      <c r="A184" s="19" t="s">
        <v>179</v>
      </c>
    </row>
    <row r="186" spans="1:1" ht="17.5">
      <c r="A186" s="4" t="s">
        <v>180</v>
      </c>
    </row>
    <row r="188" spans="1:1">
      <c r="A188" s="21" t="b">
        <f>ISNUMBER(A2)</f>
        <v>0</v>
      </c>
    </row>
    <row r="190" spans="1:1" ht="17.5">
      <c r="A190" s="4" t="s">
        <v>181</v>
      </c>
    </row>
    <row r="192" spans="1:1">
      <c r="A192" s="21" t="b">
        <f>ISTEXT(A2)</f>
        <v>0</v>
      </c>
    </row>
    <row r="196" spans="1:1" ht="23.5">
      <c r="A196" s="19" t="s">
        <v>182</v>
      </c>
    </row>
    <row r="198" spans="1:1" ht="17.5">
      <c r="A198" s="4" t="s">
        <v>183</v>
      </c>
    </row>
    <row r="200" spans="1:1">
      <c r="A200" s="21" t="b">
        <f ca="1">A2&gt;=TODAY()</f>
        <v>0</v>
      </c>
    </row>
    <row r="202" spans="1:1" ht="17.5">
      <c r="A202" s="4" t="s">
        <v>184</v>
      </c>
    </row>
    <row r="204" spans="1:1">
      <c r="A204" s="21" t="b">
        <f ca="1">A2&gt;TODAY()</f>
        <v>0</v>
      </c>
    </row>
    <row r="206" spans="1:1" ht="17.5">
      <c r="A206" s="4" t="s">
        <v>185</v>
      </c>
    </row>
    <row r="208" spans="1:1">
      <c r="A208" s="21" t="b">
        <f>WEEKDAY(A2,2)&lt;=5</f>
        <v>0</v>
      </c>
    </row>
    <row r="210" spans="1:1">
      <c r="A210" t="s">
        <v>186</v>
      </c>
    </row>
    <row r="214" spans="1:1" ht="23.5">
      <c r="A214" s="19" t="s">
        <v>187</v>
      </c>
    </row>
    <row r="216" spans="1:1">
      <c r="A216" t="s">
        <v>116</v>
      </c>
    </row>
    <row r="218" spans="1:1">
      <c r="A218" s="5" t="s">
        <v>188</v>
      </c>
    </row>
    <row r="220" spans="1:1">
      <c r="A220" s="21" t="b">
        <f>AND(A2&gt;=18,B2="Active")</f>
        <v>0</v>
      </c>
    </row>
    <row r="224" spans="1:1" ht="23.5">
      <c r="A224" s="19" t="s">
        <v>189</v>
      </c>
    </row>
    <row r="226" spans="1:2">
      <c r="A226" s="8" t="s">
        <v>41</v>
      </c>
      <c r="B226" s="8" t="s">
        <v>17</v>
      </c>
    </row>
    <row r="227" spans="1:2">
      <c r="A227" s="15" t="s">
        <v>190</v>
      </c>
      <c r="B227" s="15" t="s">
        <v>191</v>
      </c>
    </row>
    <row r="228" spans="1:2">
      <c r="A228" s="15" t="s">
        <v>192</v>
      </c>
      <c r="B228" s="15" t="s">
        <v>193</v>
      </c>
    </row>
    <row r="229" spans="1:2">
      <c r="A229" s="15" t="s">
        <v>194</v>
      </c>
      <c r="B229" s="15" t="s">
        <v>195</v>
      </c>
    </row>
    <row r="230" spans="1:2">
      <c r="A230" s="15" t="s">
        <v>196</v>
      </c>
      <c r="B230" s="15" t="s">
        <v>197</v>
      </c>
    </row>
    <row r="232" spans="1:2" ht="17.5">
      <c r="A232" s="4" t="s">
        <v>77</v>
      </c>
    </row>
    <row r="234" spans="1:2">
      <c r="A234" s="5" t="s">
        <v>198</v>
      </c>
    </row>
    <row r="235" spans="1:2">
      <c r="A235" t="s">
        <v>86</v>
      </c>
    </row>
    <row r="237" spans="1:2">
      <c r="A237" s="5" t="s">
        <v>199</v>
      </c>
    </row>
    <row r="239" spans="1:2">
      <c r="A239" s="21" t="b">
        <f>OR(A2="HR",A2="IT",A2="Finance")</f>
        <v>0</v>
      </c>
    </row>
    <row r="241" spans="1:1">
      <c r="A241" t="s">
        <v>200</v>
      </c>
    </row>
    <row r="245" spans="1:1" ht="23.5">
      <c r="A245" s="19" t="s">
        <v>201</v>
      </c>
    </row>
    <row r="246" spans="1:1">
      <c r="A246" s="17"/>
    </row>
    <row r="247" spans="1:1">
      <c r="A247" s="17" t="s">
        <v>202</v>
      </c>
    </row>
    <row r="248" spans="1:1">
      <c r="A248" s="17"/>
    </row>
    <row r="249" spans="1:1">
      <c r="A249" s="17" t="s">
        <v>203</v>
      </c>
    </row>
    <row r="250" spans="1:1">
      <c r="A250" s="17"/>
    </row>
    <row r="251" spans="1:1">
      <c r="A251" s="17" t="s">
        <v>204</v>
      </c>
    </row>
    <row r="252" spans="1:1">
      <c r="A252" s="17"/>
    </row>
    <row r="253" spans="1:1">
      <c r="A253" s="17" t="s">
        <v>205</v>
      </c>
    </row>
    <row r="254" spans="1:1">
      <c r="A254" s="17"/>
    </row>
    <row r="255" spans="1:1">
      <c r="A255" s="17" t="s">
        <v>206</v>
      </c>
    </row>
    <row r="256" spans="1:1">
      <c r="A256" s="17"/>
    </row>
    <row r="257" spans="1:2">
      <c r="A257" s="17" t="s">
        <v>207</v>
      </c>
    </row>
    <row r="258" spans="1:2">
      <c r="A258" s="17"/>
    </row>
    <row r="259" spans="1:2">
      <c r="A259" s="17" t="s">
        <v>208</v>
      </c>
    </row>
    <row r="260" spans="1:2">
      <c r="A260" s="17"/>
    </row>
    <row r="261" spans="1:2">
      <c r="A261" s="17" t="s">
        <v>209</v>
      </c>
    </row>
    <row r="262" spans="1:2">
      <c r="A262" s="17"/>
    </row>
    <row r="263" spans="1:2">
      <c r="A263" s="17" t="s">
        <v>210</v>
      </c>
    </row>
    <row r="265" spans="1:2" ht="17.5">
      <c r="A265" s="4" t="s">
        <v>211</v>
      </c>
    </row>
    <row r="267" spans="1:2">
      <c r="A267" s="1" t="s">
        <v>146</v>
      </c>
      <c r="B267" s="1" t="s">
        <v>147</v>
      </c>
    </row>
    <row r="268" spans="1:2">
      <c r="A268" s="2" t="s">
        <v>212</v>
      </c>
      <c r="B268" s="20" t="b">
        <f>A2&gt;0</f>
        <v>0</v>
      </c>
    </row>
    <row r="269" spans="1:2">
      <c r="A269" s="2" t="s">
        <v>12</v>
      </c>
      <c r="B269" s="20" t="b">
        <f>AND(A2&gt;=18,A2&lt;=60)</f>
        <v>0</v>
      </c>
    </row>
    <row r="270" spans="1:2">
      <c r="A270" s="2" t="s">
        <v>213</v>
      </c>
      <c r="B270" s="20" t="b">
        <f>A2&lt;&gt;""</f>
        <v>0</v>
      </c>
    </row>
    <row r="271" spans="1:2">
      <c r="A271" s="2" t="s">
        <v>164</v>
      </c>
      <c r="B271" s="20" t="b">
        <f>LEFT(A2,3)="EMP"</f>
        <v>0</v>
      </c>
    </row>
    <row r="272" spans="1:2">
      <c r="A272" s="2" t="s">
        <v>55</v>
      </c>
      <c r="B272" s="20" t="b">
        <f>LEN(A2)=6</f>
        <v>0</v>
      </c>
    </row>
    <row r="273" spans="1:2">
      <c r="A273" s="2" t="s">
        <v>214</v>
      </c>
      <c r="B273" s="20" t="b">
        <f>COUNTIF($A$2:$A$100,A2)=1</f>
        <v>0</v>
      </c>
    </row>
    <row r="274" spans="1:2">
      <c r="A274" s="2" t="s">
        <v>113</v>
      </c>
      <c r="B274" s="20" t="b">
        <f ca="1">A2&gt;TODAY()</f>
        <v>0</v>
      </c>
    </row>
    <row r="275" spans="1:2">
      <c r="A275" s="2" t="s">
        <v>215</v>
      </c>
      <c r="B275" s="20" t="b">
        <f>WEEKDAY(A2,2)&lt;=5</f>
        <v>0</v>
      </c>
    </row>
    <row r="276" spans="1:2">
      <c r="A276" s="2" t="s">
        <v>216</v>
      </c>
      <c r="B276" s="20" t="b">
        <f>ISNUMBER(A2)</f>
        <v>0</v>
      </c>
    </row>
    <row r="277" spans="1:2">
      <c r="A277" s="2" t="s">
        <v>217</v>
      </c>
      <c r="B277" s="20" t="b">
        <f>ISTEXT(A2)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</vt:lpstr>
      <vt:lpstr>Sheet1</vt:lpstr>
      <vt:lpstr>Sheet3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Dell</cp:lastModifiedBy>
  <dcterms:created xsi:type="dcterms:W3CDTF">2026-08-11T04:11:56Z</dcterms:created>
  <dcterms:modified xsi:type="dcterms:W3CDTF">2026-08-13T18:31:52Z</dcterms:modified>
</cp:coreProperties>
</file>