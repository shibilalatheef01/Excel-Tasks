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 (2)" sheetId="1" r:id="rId4"/>
    <sheet state="visible" name="MessyData" sheetId="2" r:id="rId5"/>
  </sheets>
  <definedNames>
    <definedName localSheetId="0" name="ExternalData_1">'Table1 (2)'!$A$1:$N$101</definedName>
  </definedNames>
  <calcPr/>
  <extLst>
    <ext uri="GoogleSheetsCustomDataVersion2">
      <go:sheetsCustomData xmlns:go="http://customooxmlschemas.google.com/" r:id="rId6" roundtripDataChecksum="LF/oMnZTdQe5T3rrnRxeIoc9GNHvVHdoXXFiCXqntrQ="/>
    </ext>
  </extLst>
</workbook>
</file>

<file path=xl/sharedStrings.xml><?xml version="1.0" encoding="utf-8"?>
<sst xmlns="http://schemas.openxmlformats.org/spreadsheetml/2006/main" count="1628" uniqueCount="427">
  <si>
    <t>ID</t>
  </si>
  <si>
    <t>Name</t>
  </si>
  <si>
    <t>Date</t>
  </si>
  <si>
    <t>q6</t>
  </si>
  <si>
    <t>q7</t>
  </si>
  <si>
    <t>q9, todays date</t>
  </si>
  <si>
    <t>q9</t>
  </si>
  <si>
    <t>Phone</t>
  </si>
  <si>
    <t>Email</t>
  </si>
  <si>
    <t>Amount</t>
  </si>
  <si>
    <t>City</t>
  </si>
  <si>
    <t>Gender</t>
  </si>
  <si>
    <t>Product</t>
  </si>
  <si>
    <t>Status</t>
  </si>
  <si>
    <t>q4</t>
  </si>
  <si>
    <t>q5</t>
  </si>
  <si>
    <t>question</t>
  </si>
  <si>
    <t>answer</t>
  </si>
  <si>
    <t>Chris</t>
  </si>
  <si>
    <t>chris@gmail</t>
  </si>
  <si>
    <t>Kochi</t>
  </si>
  <si>
    <t>Male</t>
  </si>
  <si>
    <t>Tablet</t>
  </si>
  <si>
    <t>Completed</t>
  </si>
  <si>
    <t>Sarah Lee</t>
  </si>
  <si>
    <t>sarahlee@gmail</t>
  </si>
  <si>
    <t>Ahmedabad</t>
  </si>
  <si>
    <t>Michael</t>
  </si>
  <si>
    <t>michael@mail.com</t>
  </si>
  <si>
    <t>Delhi</t>
  </si>
  <si>
    <t>Mobile</t>
  </si>
  <si>
    <t>Pending</t>
  </si>
  <si>
    <t>John Doe</t>
  </si>
  <si>
    <t>johndoe@mail.com</t>
  </si>
  <si>
    <t>Laptop</t>
  </si>
  <si>
    <t>Emily</t>
  </si>
  <si>
    <t>emily@gmail.com</t>
  </si>
  <si>
    <t>Bangalore</t>
  </si>
  <si>
    <t>Female</t>
  </si>
  <si>
    <t>sarahlee@mail.com</t>
  </si>
  <si>
    <t>Mumbai</t>
  </si>
  <si>
    <t>chris@mail.com</t>
  </si>
  <si>
    <t>Pune</t>
  </si>
  <si>
    <t>michael@gmail</t>
  </si>
  <si>
    <t>sarahlee@gmail.com</t>
  </si>
  <si>
    <t>Alex</t>
  </si>
  <si>
    <t>alex@mail.com</t>
  </si>
  <si>
    <t>Kolkata</t>
  </si>
  <si>
    <t>emily@mail.com</t>
  </si>
  <si>
    <t>Jane Doe</t>
  </si>
  <si>
    <t>janedoe@mail.com</t>
  </si>
  <si>
    <t>Hyderabad</t>
  </si>
  <si>
    <t>Robert</t>
  </si>
  <si>
    <t>robert@gmail.com</t>
  </si>
  <si>
    <t>Jaipur</t>
  </si>
  <si>
    <t>Complete</t>
  </si>
  <si>
    <t>Anna Smith</t>
  </si>
  <si>
    <t>annasmith@gmail.com</t>
  </si>
  <si>
    <t>David</t>
  </si>
  <si>
    <t>david@gmail.com</t>
  </si>
  <si>
    <t>david@mail.com</t>
  </si>
  <si>
    <t>Chennai</t>
  </si>
  <si>
    <t>janedoe@gmail.com</t>
  </si>
  <si>
    <t>chris@gmail.com</t>
  </si>
  <si>
    <t>janedoe@gmail</t>
  </si>
  <si>
    <t>annasmith@mail.com</t>
  </si>
  <si>
    <t>annasmith@gmail</t>
  </si>
  <si>
    <t>johndoe@gmail.com</t>
  </si>
  <si>
    <t>johndoe@gmail</t>
  </si>
  <si>
    <t>robert@mail.com</t>
  </si>
  <si>
    <t>alex@gmail</t>
  </si>
  <si>
    <t>alex@gmail.com</t>
  </si>
  <si>
    <t>david@gmail</t>
  </si>
  <si>
    <t xml:space="preserve"> 101 </t>
  </si>
  <si>
    <t>chris</t>
  </si>
  <si>
    <t>March 9 2026</t>
  </si>
  <si>
    <t>9897989899</t>
  </si>
  <si>
    <t>3,232</t>
  </si>
  <si>
    <t>kochi</t>
  </si>
  <si>
    <t>m</t>
  </si>
  <si>
    <t>completed</t>
  </si>
  <si>
    <t xml:space="preserve"> 102 </t>
  </si>
  <si>
    <t>7 mar 2026</t>
  </si>
  <si>
    <t>95583 86023</t>
  </si>
  <si>
    <t>1241rs</t>
  </si>
  <si>
    <t>male</t>
  </si>
  <si>
    <t>done</t>
  </si>
  <si>
    <t xml:space="preserve"> 103 </t>
  </si>
  <si>
    <t>MICHAEL</t>
  </si>
  <si>
    <t>10/03/26</t>
  </si>
  <si>
    <t>9327819786</t>
  </si>
  <si>
    <t>michael@mail..com</t>
  </si>
  <si>
    <t>2877rs</t>
  </si>
  <si>
    <t>MOBILE</t>
  </si>
  <si>
    <t xml:space="preserve"> 104 </t>
  </si>
  <si>
    <t>john doe</t>
  </si>
  <si>
    <t>12-03-2026</t>
  </si>
  <si>
    <t>982899679</t>
  </si>
  <si>
    <t>johndoe@@mail.com</t>
  </si>
  <si>
    <t>₹4578</t>
  </si>
  <si>
    <t>laptop</t>
  </si>
  <si>
    <t>pending</t>
  </si>
  <si>
    <t xml:space="preserve"> 105 </t>
  </si>
  <si>
    <t>emily</t>
  </si>
  <si>
    <t>Mar 14 2026</t>
  </si>
  <si>
    <t>98607 72485</t>
  </si>
  <si>
    <t>3,755</t>
  </si>
  <si>
    <t xml:space="preserve"> 106 </t>
  </si>
  <si>
    <t>08-03-2026</t>
  </si>
  <si>
    <t>9712224478</t>
  </si>
  <si>
    <t>sarahlee@mail..com</t>
  </si>
  <si>
    <t>4190rs</t>
  </si>
  <si>
    <t>mumbai</t>
  </si>
  <si>
    <t>F</t>
  </si>
  <si>
    <t xml:space="preserve"> 107 </t>
  </si>
  <si>
    <t>98751 84380</t>
  </si>
  <si>
    <t>chris@@mail.com</t>
  </si>
  <si>
    <t>$2058</t>
  </si>
  <si>
    <t>pune</t>
  </si>
  <si>
    <t>M</t>
  </si>
  <si>
    <t>phone</t>
  </si>
  <si>
    <t xml:space="preserve"> 108 </t>
  </si>
  <si>
    <t>94285 20226</t>
  </si>
  <si>
    <t>4970rs</t>
  </si>
  <si>
    <t xml:space="preserve"> 109 </t>
  </si>
  <si>
    <t>11 mar 26</t>
  </si>
  <si>
    <t>9321418377x</t>
  </si>
  <si>
    <t>4108</t>
  </si>
  <si>
    <t>f</t>
  </si>
  <si>
    <t xml:space="preserve"> 110 </t>
  </si>
  <si>
    <t>952573594</t>
  </si>
  <si>
    <t>alex@mail..com</t>
  </si>
  <si>
    <t>$2697</t>
  </si>
  <si>
    <t xml:space="preserve"> 111 </t>
  </si>
  <si>
    <t>abc9088634</t>
  </si>
  <si>
    <t>emily@mail..com</t>
  </si>
  <si>
    <t>2,226</t>
  </si>
  <si>
    <t xml:space="preserve"> 112 </t>
  </si>
  <si>
    <t xml:space="preserve"> JANE DOE</t>
  </si>
  <si>
    <t>16 mar 2026</t>
  </si>
  <si>
    <t>93273 74620</t>
  </si>
  <si>
    <t>janedoe@@mail.com</t>
  </si>
  <si>
    <t>2141rs</t>
  </si>
  <si>
    <t>HYDERABAD</t>
  </si>
  <si>
    <t xml:space="preserve"> 113 </t>
  </si>
  <si>
    <t>909030091</t>
  </si>
  <si>
    <t>$4944</t>
  </si>
  <si>
    <t xml:space="preserve"> 114 </t>
  </si>
  <si>
    <t>ROBERT</t>
  </si>
  <si>
    <t>949786321</t>
  </si>
  <si>
    <t>5,223</t>
  </si>
  <si>
    <t xml:space="preserve"> 115 </t>
  </si>
  <si>
    <t>92071 71738</t>
  </si>
  <si>
    <t>5,566</t>
  </si>
  <si>
    <t xml:space="preserve"> 116 </t>
  </si>
  <si>
    <t>95607 97352</t>
  </si>
  <si>
    <t>chris@mail..com</t>
  </si>
  <si>
    <t>₹2080</t>
  </si>
  <si>
    <t xml:space="preserve"> 117 </t>
  </si>
  <si>
    <t>9986023765x</t>
  </si>
  <si>
    <t>3,548</t>
  </si>
  <si>
    <t xml:space="preserve"> 118 </t>
  </si>
  <si>
    <t>13/03/2026</t>
  </si>
  <si>
    <t>abc9239533</t>
  </si>
  <si>
    <t>2,991</t>
  </si>
  <si>
    <t xml:space="preserve"> 119 </t>
  </si>
  <si>
    <t>9309635814</t>
  </si>
  <si>
    <t>₹3238</t>
  </si>
  <si>
    <t>tablet</t>
  </si>
  <si>
    <t xml:space="preserve"> 120 </t>
  </si>
  <si>
    <t>9587836292</t>
  </si>
  <si>
    <t>5,291</t>
  </si>
  <si>
    <t>female</t>
  </si>
  <si>
    <t xml:space="preserve"> 121 </t>
  </si>
  <si>
    <t>91664 36490</t>
  </si>
  <si>
    <t>4,925</t>
  </si>
  <si>
    <t xml:space="preserve"> 122 </t>
  </si>
  <si>
    <t>93021 12943</t>
  </si>
  <si>
    <t>5,627</t>
  </si>
  <si>
    <t xml:space="preserve"> 123 </t>
  </si>
  <si>
    <t>9651517836</t>
  </si>
  <si>
    <t>$2836</t>
  </si>
  <si>
    <t xml:space="preserve"> 124 </t>
  </si>
  <si>
    <t>david</t>
  </si>
  <si>
    <t>9456450560</t>
  </si>
  <si>
    <t>3540rs</t>
  </si>
  <si>
    <t xml:space="preserve"> 125 </t>
  </si>
  <si>
    <t>9490687752x</t>
  </si>
  <si>
    <t>₹4899</t>
  </si>
  <si>
    <t xml:space="preserve"> 126 </t>
  </si>
  <si>
    <t>9026633344x</t>
  </si>
  <si>
    <t>michael@@mail.com</t>
  </si>
  <si>
    <t>1,311</t>
  </si>
  <si>
    <t xml:space="preserve"> 127 </t>
  </si>
  <si>
    <t>9822113157</t>
  </si>
  <si>
    <t>david@@mail.com</t>
  </si>
  <si>
    <t>$4303</t>
  </si>
  <si>
    <t>chennai</t>
  </si>
  <si>
    <t xml:space="preserve"> 128 </t>
  </si>
  <si>
    <t>15-03-26</t>
  </si>
  <si>
    <t>abc9926148</t>
  </si>
  <si>
    <t>4510</t>
  </si>
  <si>
    <t xml:space="preserve"> 129 </t>
  </si>
  <si>
    <t>9840168459x</t>
  </si>
  <si>
    <t>$1605</t>
  </si>
  <si>
    <t xml:space="preserve"> 130 </t>
  </si>
  <si>
    <t>977876612</t>
  </si>
  <si>
    <t>4456rs</t>
  </si>
  <si>
    <t xml:space="preserve"> 131 </t>
  </si>
  <si>
    <t>abc9006350</t>
  </si>
  <si>
    <t>3,139</t>
  </si>
  <si>
    <t xml:space="preserve"> 132 </t>
  </si>
  <si>
    <t>93574 46896</t>
  </si>
  <si>
    <t>2125rs</t>
  </si>
  <si>
    <t xml:space="preserve"> 133 </t>
  </si>
  <si>
    <t>9738174111x</t>
  </si>
  <si>
    <t>johndoe@mail..com</t>
  </si>
  <si>
    <t>5,414</t>
  </si>
  <si>
    <t xml:space="preserve"> 134 </t>
  </si>
  <si>
    <t>9082092328x</t>
  </si>
  <si>
    <t>3078rs</t>
  </si>
  <si>
    <t xml:space="preserve"> 135 </t>
  </si>
  <si>
    <t>9333438882</t>
  </si>
  <si>
    <t>3180</t>
  </si>
  <si>
    <t xml:space="preserve"> 136 </t>
  </si>
  <si>
    <t>9460696530</t>
  </si>
  <si>
    <t>alex@@mail.com</t>
  </si>
  <si>
    <t>$1284</t>
  </si>
  <si>
    <t xml:space="preserve"> 137 </t>
  </si>
  <si>
    <t>9872943352</t>
  </si>
  <si>
    <t>david@mail..com</t>
  </si>
  <si>
    <t>4441</t>
  </si>
  <si>
    <t xml:space="preserve"> 138 </t>
  </si>
  <si>
    <t>9859265079</t>
  </si>
  <si>
    <t>3970rs</t>
  </si>
  <si>
    <t xml:space="preserve"> 139 </t>
  </si>
  <si>
    <t>9263915681x</t>
  </si>
  <si>
    <t>$3073</t>
  </si>
  <si>
    <t xml:space="preserve"> 140 </t>
  </si>
  <si>
    <t>9156822905</t>
  </si>
  <si>
    <t>annasmith@@mail.com</t>
  </si>
  <si>
    <t>4,641</t>
  </si>
  <si>
    <t xml:space="preserve"> 141 </t>
  </si>
  <si>
    <t>9891611996x</t>
  </si>
  <si>
    <t>5,876</t>
  </si>
  <si>
    <t xml:space="preserve"> 142 </t>
  </si>
  <si>
    <t>9012677101</t>
  </si>
  <si>
    <t>1628</t>
  </si>
  <si>
    <t xml:space="preserve"> 143 </t>
  </si>
  <si>
    <t>92252 84756</t>
  </si>
  <si>
    <t>$1698</t>
  </si>
  <si>
    <t xml:space="preserve"> 144 </t>
  </si>
  <si>
    <t>abc9869353</t>
  </si>
  <si>
    <t>$1112</t>
  </si>
  <si>
    <t xml:space="preserve"> 145 </t>
  </si>
  <si>
    <t>abc9805601</t>
  </si>
  <si>
    <t>3852rs</t>
  </si>
  <si>
    <t xml:space="preserve"> 146 </t>
  </si>
  <si>
    <t>abc9109926</t>
  </si>
  <si>
    <t>1207rs</t>
  </si>
  <si>
    <t xml:space="preserve"> 147 </t>
  </si>
  <si>
    <t>abc9438339</t>
  </si>
  <si>
    <t>$4880</t>
  </si>
  <si>
    <t xml:space="preserve"> 148 </t>
  </si>
  <si>
    <t>9524842042x</t>
  </si>
  <si>
    <t>1528</t>
  </si>
  <si>
    <t xml:space="preserve"> 149 </t>
  </si>
  <si>
    <t>903145191</t>
  </si>
  <si>
    <t>5,787</t>
  </si>
  <si>
    <t xml:space="preserve"> 150 </t>
  </si>
  <si>
    <t>9506620655x</t>
  </si>
  <si>
    <t>$3569</t>
  </si>
  <si>
    <t xml:space="preserve"> 151 </t>
  </si>
  <si>
    <t>abc9386610</t>
  </si>
  <si>
    <t>3625</t>
  </si>
  <si>
    <t xml:space="preserve"> 152 </t>
  </si>
  <si>
    <t>9890682062x</t>
  </si>
  <si>
    <t>3,493</t>
  </si>
  <si>
    <t xml:space="preserve"> 153 </t>
  </si>
  <si>
    <t>9389815662x</t>
  </si>
  <si>
    <t>4040rs</t>
  </si>
  <si>
    <t xml:space="preserve"> 154 </t>
  </si>
  <si>
    <t>9267138230</t>
  </si>
  <si>
    <t>$3859</t>
  </si>
  <si>
    <t xml:space="preserve"> 155 </t>
  </si>
  <si>
    <t>929144428</t>
  </si>
  <si>
    <t>robert@mail..com</t>
  </si>
  <si>
    <t>4469rs</t>
  </si>
  <si>
    <t xml:space="preserve"> 156 </t>
  </si>
  <si>
    <t>9154731027</t>
  </si>
  <si>
    <t>2501rs</t>
  </si>
  <si>
    <t xml:space="preserve"> 157 </t>
  </si>
  <si>
    <t>abc9153895</t>
  </si>
  <si>
    <t>3837</t>
  </si>
  <si>
    <t xml:space="preserve"> 158 </t>
  </si>
  <si>
    <t>9744320428x</t>
  </si>
  <si>
    <t>sarahlee@@mail.com</t>
  </si>
  <si>
    <t>3912</t>
  </si>
  <si>
    <t xml:space="preserve"> 159 </t>
  </si>
  <si>
    <t>9153330970x</t>
  </si>
  <si>
    <t>3306rs</t>
  </si>
  <si>
    <t xml:space="preserve"> 160 </t>
  </si>
  <si>
    <t>95323 51903</t>
  </si>
  <si>
    <t>$4193</t>
  </si>
  <si>
    <t xml:space="preserve"> 161 </t>
  </si>
  <si>
    <t>abc9105888</t>
  </si>
  <si>
    <t>$2459</t>
  </si>
  <si>
    <t xml:space="preserve"> 162 </t>
  </si>
  <si>
    <t>9515621272</t>
  </si>
  <si>
    <t>3,148</t>
  </si>
  <si>
    <t xml:space="preserve"> 163 </t>
  </si>
  <si>
    <t>9812166804</t>
  </si>
  <si>
    <t>4108rs</t>
  </si>
  <si>
    <t xml:space="preserve"> 164 </t>
  </si>
  <si>
    <t>96411 24760</t>
  </si>
  <si>
    <t>₹4939</t>
  </si>
  <si>
    <t xml:space="preserve"> 165 </t>
  </si>
  <si>
    <t>991849737</t>
  </si>
  <si>
    <t>$2240</t>
  </si>
  <si>
    <t xml:space="preserve"> 166 </t>
  </si>
  <si>
    <t>97542 13224</t>
  </si>
  <si>
    <t>4033</t>
  </si>
  <si>
    <t xml:space="preserve"> 167 </t>
  </si>
  <si>
    <t>9839108465</t>
  </si>
  <si>
    <t>$4553</t>
  </si>
  <si>
    <t xml:space="preserve"> 168 </t>
  </si>
  <si>
    <t>985902257</t>
  </si>
  <si>
    <t>₹3490</t>
  </si>
  <si>
    <t xml:space="preserve"> 169 </t>
  </si>
  <si>
    <t>923355790</t>
  </si>
  <si>
    <t>₹2519</t>
  </si>
  <si>
    <t xml:space="preserve"> 170 </t>
  </si>
  <si>
    <t>abc9070710</t>
  </si>
  <si>
    <t>3,604</t>
  </si>
  <si>
    <t xml:space="preserve"> 171 </t>
  </si>
  <si>
    <t>92787 52212</t>
  </si>
  <si>
    <t>4,843</t>
  </si>
  <si>
    <t xml:space="preserve"> 172 </t>
  </si>
  <si>
    <t>9394997205</t>
  </si>
  <si>
    <t>4338rs</t>
  </si>
  <si>
    <t xml:space="preserve"> 173 </t>
  </si>
  <si>
    <t>9085162705x</t>
  </si>
  <si>
    <t>emily@@mail.com</t>
  </si>
  <si>
    <t>1068</t>
  </si>
  <si>
    <t xml:space="preserve"> 174 </t>
  </si>
  <si>
    <t>928555047</t>
  </si>
  <si>
    <t>3191</t>
  </si>
  <si>
    <t xml:space="preserve"> 175 </t>
  </si>
  <si>
    <t>997871767</t>
  </si>
  <si>
    <t>4110rs</t>
  </si>
  <si>
    <t xml:space="preserve"> 176 </t>
  </si>
  <si>
    <t>970581993</t>
  </si>
  <si>
    <t>$3853</t>
  </si>
  <si>
    <t xml:space="preserve"> 177 </t>
  </si>
  <si>
    <t>92194 28529</t>
  </si>
  <si>
    <t>2,190</t>
  </si>
  <si>
    <t xml:space="preserve"> 178 </t>
  </si>
  <si>
    <t>9013776718</t>
  </si>
  <si>
    <t>$2099</t>
  </si>
  <si>
    <t xml:space="preserve"> 179 </t>
  </si>
  <si>
    <t>903189690</t>
  </si>
  <si>
    <t>2129</t>
  </si>
  <si>
    <t xml:space="preserve"> 180 </t>
  </si>
  <si>
    <t>91274 19556</t>
  </si>
  <si>
    <t>1650rs</t>
  </si>
  <si>
    <t xml:space="preserve"> 181 </t>
  </si>
  <si>
    <t>92962 13171</t>
  </si>
  <si>
    <t>5,634</t>
  </si>
  <si>
    <t xml:space="preserve"> 182 </t>
  </si>
  <si>
    <t>93433 20973</t>
  </si>
  <si>
    <t>1863</t>
  </si>
  <si>
    <t xml:space="preserve"> 183 </t>
  </si>
  <si>
    <t>90969 13093</t>
  </si>
  <si>
    <t>3216rs</t>
  </si>
  <si>
    <t xml:space="preserve"> 184 </t>
  </si>
  <si>
    <t>9373790314</t>
  </si>
  <si>
    <t>3960</t>
  </si>
  <si>
    <t xml:space="preserve"> 185 </t>
  </si>
  <si>
    <t>918824249</t>
  </si>
  <si>
    <t>1,939</t>
  </si>
  <si>
    <t xml:space="preserve"> 186 </t>
  </si>
  <si>
    <t>abc9561515</t>
  </si>
  <si>
    <t>$3370</t>
  </si>
  <si>
    <t xml:space="preserve"> 187 </t>
  </si>
  <si>
    <t>98015 79006</t>
  </si>
  <si>
    <t>4399</t>
  </si>
  <si>
    <t xml:space="preserve"> 188 </t>
  </si>
  <si>
    <t>9453963843</t>
  </si>
  <si>
    <t>₹4600</t>
  </si>
  <si>
    <t xml:space="preserve"> 189 </t>
  </si>
  <si>
    <t>929086689</t>
  </si>
  <si>
    <t>3724rs</t>
  </si>
  <si>
    <t xml:space="preserve"> 190 </t>
  </si>
  <si>
    <t>9494960671x</t>
  </si>
  <si>
    <t>$4964</t>
  </si>
  <si>
    <t xml:space="preserve"> 191 </t>
  </si>
  <si>
    <t>abc9194067</t>
  </si>
  <si>
    <t>1860</t>
  </si>
  <si>
    <t xml:space="preserve"> 192 </t>
  </si>
  <si>
    <t>9168078316x</t>
  </si>
  <si>
    <t>4297</t>
  </si>
  <si>
    <t xml:space="preserve"> 193 </t>
  </si>
  <si>
    <t>9941979625</t>
  </si>
  <si>
    <t>3,333</t>
  </si>
  <si>
    <t xml:space="preserve"> 194 </t>
  </si>
  <si>
    <t>9210958992x</t>
  </si>
  <si>
    <t>$2933</t>
  </si>
  <si>
    <t xml:space="preserve"> 195 </t>
  </si>
  <si>
    <t>90661 63301</t>
  </si>
  <si>
    <t>4870</t>
  </si>
  <si>
    <t xml:space="preserve"> 196 </t>
  </si>
  <si>
    <t>982522784</t>
  </si>
  <si>
    <t>₹3051</t>
  </si>
  <si>
    <t xml:space="preserve"> 197 </t>
  </si>
  <si>
    <t>998012810</t>
  </si>
  <si>
    <t>robert@@mail.com</t>
  </si>
  <si>
    <t>₹1018</t>
  </si>
  <si>
    <t xml:space="preserve"> 198 </t>
  </si>
  <si>
    <t>9491692372x</t>
  </si>
  <si>
    <t>₹4753</t>
  </si>
  <si>
    <t xml:space="preserve"> 199 </t>
  </si>
  <si>
    <t>abc9796360</t>
  </si>
  <si>
    <t>5,339</t>
  </si>
  <si>
    <t xml:space="preserve"> 200 </t>
  </si>
  <si>
    <t>95475 91253</t>
  </si>
  <si>
    <t>annasmith@mail..com</t>
  </si>
  <si>
    <t>1,252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</si>
</sst>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>
    <tableStyle count="3" pivot="0" name="Table1 (2)-style">
      <tableStyleElement dxfId="1" type="headerRow"/>
      <tableStyleElement dxfId="2" type="firstRowStripe"/>
      <tableStyleElement dxfId="3" type="secondRowStripe"/>
    </tableStyle>
    <tableStyle count="3" pivot="0" name="Table1 (2)-style 2">
      <tableStyleElement dxfId="4" type="headerRow"/>
      <tableStyleElement dxfId="5" type="firstRowStripe"/>
      <tableStyleElement dxfId="6" type="secondRowStripe"/>
    </tableStyle>
    <tableStyle count="3" pivot="0" name="MessyData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01" displayName="Table_1" name="Table_1" id="1">
  <tableColumns count="16">
    <tableColumn name="ID" id="1"/>
    <tableColumn name="Name" id="2"/>
    <tableColumn name="Date" id="3"/>
    <tableColumn name="q6" id="4"/>
    <tableColumn name="q7" id="5"/>
    <tableColumn name="q9, todays date" id="6"/>
    <tableColumn name="q9" id="7"/>
    <tableColumn name="Phone" id="8"/>
    <tableColumn name="Email" id="9"/>
    <tableColumn name="Amount" id="10"/>
    <tableColumn name="City" id="11"/>
    <tableColumn name="Gender" id="12"/>
    <tableColumn name="Product" id="13"/>
    <tableColumn name="Status" id="14"/>
    <tableColumn name="q4" id="15"/>
    <tableColumn name="q5" id="16"/>
  </tableColumns>
  <tableStyleInfo name="Table1 (2)-style" showColumnStripes="0" showFirstColumn="1" showLastColumn="1" showRowStripes="1"/>
</table>
</file>

<file path=xl/tables/table2.xml><?xml version="1.0" encoding="utf-8"?>
<table xmlns="http://schemas.openxmlformats.org/spreadsheetml/2006/main" ref="R1:S11" displayName="Table_2" name="Table_2" id="2">
  <tableColumns count="2">
    <tableColumn name="question" id="1"/>
    <tableColumn name="answer" id="2"/>
  </tableColumns>
  <tableStyleInfo name="Table1 (2)-style 2" showColumnStripes="0" showFirstColumn="1" showLastColumn="1" showRowStripes="1"/>
</table>
</file>

<file path=xl/tables/table3.xml><?xml version="1.0" encoding="utf-8"?>
<table xmlns="http://schemas.openxmlformats.org/spreadsheetml/2006/main" ref="A1:J101" displayName="Table_3" name="Table_3" id="3">
  <tableColumns count="10">
    <tableColumn name="ID" id="1"/>
    <tableColumn name="Name" id="2"/>
    <tableColumn name="Date" id="3"/>
    <tableColumn name="Phone" id="4"/>
    <tableColumn name="Email" id="5"/>
    <tableColumn name="Amount" id="6"/>
    <tableColumn name="City" id="7"/>
    <tableColumn name="Gender" id="8"/>
    <tableColumn name="Product" id="9"/>
    <tableColumn name="Status" id="10"/>
  </tableColumns>
  <tableStyleInfo name="Messy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0.43"/>
    <col customWidth="1" min="3" max="3" width="9.43"/>
    <col customWidth="1" min="4" max="5" width="10.86"/>
    <col customWidth="1" min="6" max="6" width="15.14"/>
    <col customWidth="1" min="7" max="7" width="14.29"/>
    <col customWidth="1" min="8" max="8" width="10.86"/>
    <col customWidth="1" min="9" max="9" width="20.14"/>
    <col customWidth="1" min="10" max="10" width="9.86"/>
    <col customWidth="1" min="11" max="11" width="11.0"/>
    <col customWidth="1" min="12" max="12" width="9.29"/>
    <col customWidth="1" min="13" max="13" width="9.71"/>
    <col customWidth="1" min="14" max="14" width="9.86"/>
    <col customWidth="1" min="15" max="15" width="12.43"/>
    <col customWidth="1" min="16" max="16" width="18.43"/>
    <col customWidth="1" min="17" max="17" width="10.29"/>
    <col customWidth="1" min="18" max="30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16</v>
      </c>
      <c r="S1" s="1" t="s">
        <v>17</v>
      </c>
    </row>
    <row r="2" ht="14.25" customHeight="1">
      <c r="A2" s="3">
        <v>101.0</v>
      </c>
      <c r="B2" s="4" t="s">
        <v>18</v>
      </c>
      <c r="C2" s="5">
        <v>46090.0</v>
      </c>
      <c r="D2" s="4" t="str">
        <f t="shared" ref="D2:D101" si="1">IF(WEEKDAY(C2)&gt;5,"weekend","weekday")</f>
        <v>weekday</v>
      </c>
      <c r="E2" s="4">
        <f t="shared" ref="E2:E101" si="2">SUMIF(C2:C101,C4,J2:J101)</f>
        <v>49303</v>
      </c>
      <c r="F2" s="6">
        <v>46101.0</v>
      </c>
      <c r="G2" s="4" t="str">
        <f t="shared" ref="G2:G101" si="3">IF(F2-C2&gt;7,"old order","recent order")</f>
        <v>old order</v>
      </c>
      <c r="H2" s="4">
        <v>9.897989899E9</v>
      </c>
      <c r="I2" s="4" t="s">
        <v>19</v>
      </c>
      <c r="J2" s="4">
        <v>3232.0</v>
      </c>
      <c r="K2" s="4" t="s">
        <v>20</v>
      </c>
      <c r="L2" s="4" t="s">
        <v>21</v>
      </c>
      <c r="M2" s="4" t="s">
        <v>22</v>
      </c>
      <c r="N2" s="4" t="s">
        <v>23</v>
      </c>
      <c r="O2" s="4" t="str">
        <f>IF('Table1 (2)'!$J2&lt;=4000,"small order","large order")</f>
        <v>small order</v>
      </c>
      <c r="P2" s="4" t="str">
        <f>IF('Table1 (2)'!$N2="completed","revenue realized","awaiting completion")</f>
        <v>revenue realized</v>
      </c>
      <c r="R2" s="3">
        <v>1.0</v>
      </c>
      <c r="S2" s="3">
        <f>SUM('Table1 (2)'!$J$2:$J$101)</f>
        <v>346622</v>
      </c>
    </row>
    <row r="3" ht="14.25" customHeight="1">
      <c r="A3" s="3">
        <v>102.0</v>
      </c>
      <c r="B3" s="4" t="s">
        <v>24</v>
      </c>
      <c r="C3" s="5">
        <v>46088.0</v>
      </c>
      <c r="D3" s="4" t="str">
        <f t="shared" si="1"/>
        <v>weekend</v>
      </c>
      <c r="E3" s="4">
        <f t="shared" si="2"/>
        <v>18785</v>
      </c>
      <c r="F3" s="6">
        <v>46101.0</v>
      </c>
      <c r="G3" s="4" t="str">
        <f t="shared" si="3"/>
        <v>old order</v>
      </c>
      <c r="H3" s="4">
        <v>9.558386023E9</v>
      </c>
      <c r="I3" s="4" t="s">
        <v>25</v>
      </c>
      <c r="J3" s="4">
        <v>1241.0</v>
      </c>
      <c r="K3" s="4" t="s">
        <v>26</v>
      </c>
      <c r="L3" s="4" t="s">
        <v>21</v>
      </c>
      <c r="M3" s="4" t="s">
        <v>7</v>
      </c>
      <c r="N3" s="4" t="s">
        <v>23</v>
      </c>
      <c r="O3" s="4" t="str">
        <f>IF('Table1 (2)'!$J3&lt;=4000,"small order","large order")</f>
        <v>small order</v>
      </c>
      <c r="P3" s="4" t="str">
        <f>IF('Table1 (2)'!$N3="completed","revenue realized","awaiting completion")</f>
        <v>revenue realized</v>
      </c>
      <c r="R3" s="3">
        <v>2.0</v>
      </c>
      <c r="S3" s="3">
        <f>SUMIF('Table1 (2)'!$K$2:$K$101,K4,'Table1 (2)'!$J$2:$J$101)</f>
        <v>51059</v>
      </c>
    </row>
    <row r="4" ht="14.25" customHeight="1">
      <c r="A4" s="3">
        <v>103.0</v>
      </c>
      <c r="B4" s="4" t="s">
        <v>27</v>
      </c>
      <c r="C4" s="5">
        <v>46091.0</v>
      </c>
      <c r="D4" s="4" t="str">
        <f t="shared" si="1"/>
        <v>weekday</v>
      </c>
      <c r="E4" s="4">
        <f t="shared" si="2"/>
        <v>43430</v>
      </c>
      <c r="F4" s="6">
        <v>46101.0</v>
      </c>
      <c r="G4" s="4" t="str">
        <f t="shared" si="3"/>
        <v>old order</v>
      </c>
      <c r="H4" s="4">
        <v>9.327819786E9</v>
      </c>
      <c r="I4" s="4" t="s">
        <v>28</v>
      </c>
      <c r="J4" s="4">
        <v>2877.0</v>
      </c>
      <c r="K4" s="4" t="s">
        <v>29</v>
      </c>
      <c r="L4" s="4" t="s">
        <v>21</v>
      </c>
      <c r="M4" s="4" t="s">
        <v>30</v>
      </c>
      <c r="N4" s="4" t="s">
        <v>31</v>
      </c>
      <c r="O4" s="4" t="str">
        <f>IF('Table1 (2)'!$J4&lt;=4000,"small order","large order")</f>
        <v>small order</v>
      </c>
      <c r="P4" s="4" t="str">
        <f>IF('Table1 (2)'!$N4="completed","revenue realized","awaiting completion")</f>
        <v>awaiting completion</v>
      </c>
      <c r="R4" s="3">
        <v>3.0</v>
      </c>
      <c r="S4" s="3">
        <f>SUMIF('Table1 (2)'!$M$2:$M$101,M5,'Table1 (2)'!$J$2:$J$101)</f>
        <v>84056</v>
      </c>
    </row>
    <row r="5" ht="14.25" customHeight="1">
      <c r="A5" s="3">
        <v>104.0</v>
      </c>
      <c r="B5" s="4" t="s">
        <v>32</v>
      </c>
      <c r="C5" s="5">
        <v>46093.0</v>
      </c>
      <c r="D5" s="4" t="str">
        <f t="shared" si="1"/>
        <v>weekday</v>
      </c>
      <c r="E5" s="4">
        <f t="shared" si="2"/>
        <v>26131</v>
      </c>
      <c r="F5" s="6">
        <v>46101.0</v>
      </c>
      <c r="G5" s="4" t="str">
        <f t="shared" si="3"/>
        <v>old order</v>
      </c>
      <c r="H5" s="4">
        <v>9.82899679E8</v>
      </c>
      <c r="I5" s="4" t="s">
        <v>33</v>
      </c>
      <c r="J5" s="4">
        <v>4578.0</v>
      </c>
      <c r="K5" s="4" t="s">
        <v>29</v>
      </c>
      <c r="L5" s="4" t="s">
        <v>21</v>
      </c>
      <c r="M5" s="4" t="s">
        <v>34</v>
      </c>
      <c r="N5" s="4" t="s">
        <v>31</v>
      </c>
      <c r="O5" s="4" t="str">
        <f>IF('Table1 (2)'!$J5&lt;=4000,"small order","large order")</f>
        <v>large order</v>
      </c>
      <c r="P5" s="4" t="str">
        <f>IF('Table1 (2)'!$N5="completed","revenue realized","awaiting completion")</f>
        <v>awaiting completion</v>
      </c>
      <c r="R5" s="3">
        <v>4.0</v>
      </c>
      <c r="S5" s="3"/>
    </row>
    <row r="6" ht="14.25" customHeight="1">
      <c r="A6" s="3">
        <v>105.0</v>
      </c>
      <c r="B6" s="4" t="s">
        <v>35</v>
      </c>
      <c r="C6" s="5">
        <v>46095.0</v>
      </c>
      <c r="D6" s="4" t="str">
        <f t="shared" si="1"/>
        <v>weekend</v>
      </c>
      <c r="E6" s="4">
        <f t="shared" si="2"/>
        <v>32634</v>
      </c>
      <c r="F6" s="6">
        <v>46101.0</v>
      </c>
      <c r="G6" s="4" t="str">
        <f t="shared" si="3"/>
        <v>recent order</v>
      </c>
      <c r="H6" s="4">
        <v>9.860772485E9</v>
      </c>
      <c r="I6" s="4" t="s">
        <v>36</v>
      </c>
      <c r="J6" s="4">
        <v>3755.0</v>
      </c>
      <c r="K6" s="4" t="s">
        <v>37</v>
      </c>
      <c r="L6" s="4" t="s">
        <v>38</v>
      </c>
      <c r="M6" s="4" t="s">
        <v>22</v>
      </c>
      <c r="N6" s="4" t="s">
        <v>31</v>
      </c>
      <c r="O6" s="4" t="str">
        <f>IF('Table1 (2)'!$J6&lt;=4000,"small order","large order")</f>
        <v>small order</v>
      </c>
      <c r="P6" s="4" t="str">
        <f>IF('Table1 (2)'!$N6="completed","revenue realized","awaiting completion")</f>
        <v>awaiting completion</v>
      </c>
      <c r="R6" s="3">
        <v>5.0</v>
      </c>
      <c r="S6" s="3"/>
    </row>
    <row r="7" ht="14.25" customHeight="1">
      <c r="A7" s="3">
        <v>106.0</v>
      </c>
      <c r="B7" s="4" t="s">
        <v>24</v>
      </c>
      <c r="C7" s="5">
        <v>46089.0</v>
      </c>
      <c r="D7" s="4" t="str">
        <f t="shared" si="1"/>
        <v>weekday</v>
      </c>
      <c r="E7" s="4">
        <f t="shared" si="2"/>
        <v>46426</v>
      </c>
      <c r="F7" s="6">
        <v>46101.0</v>
      </c>
      <c r="G7" s="4" t="str">
        <f t="shared" si="3"/>
        <v>old order</v>
      </c>
      <c r="H7" s="4">
        <v>9.712224478E9</v>
      </c>
      <c r="I7" s="4" t="s">
        <v>39</v>
      </c>
      <c r="J7" s="4">
        <v>4190.0</v>
      </c>
      <c r="K7" s="4" t="s">
        <v>40</v>
      </c>
      <c r="L7" s="4" t="s">
        <v>38</v>
      </c>
      <c r="M7" s="4" t="s">
        <v>30</v>
      </c>
      <c r="N7" s="4" t="s">
        <v>23</v>
      </c>
      <c r="O7" s="4" t="str">
        <f>IF('Table1 (2)'!$J7&lt;=4000,"small order","large order")</f>
        <v>large order</v>
      </c>
      <c r="P7" s="4" t="str">
        <f>IF('Table1 (2)'!$N7="completed","revenue realized","awaiting completion")</f>
        <v>revenue realized</v>
      </c>
      <c r="R7" s="3"/>
      <c r="S7" s="3"/>
    </row>
    <row r="8" ht="14.25" customHeight="1">
      <c r="A8" s="3">
        <v>107.0</v>
      </c>
      <c r="B8" s="4" t="s">
        <v>18</v>
      </c>
      <c r="C8" s="5">
        <v>46088.0</v>
      </c>
      <c r="D8" s="4" t="str">
        <f t="shared" si="1"/>
        <v>weekend</v>
      </c>
      <c r="E8" s="4">
        <f t="shared" si="2"/>
        <v>49955</v>
      </c>
      <c r="F8" s="6">
        <v>46101.0</v>
      </c>
      <c r="G8" s="4" t="str">
        <f t="shared" si="3"/>
        <v>old order</v>
      </c>
      <c r="H8" s="4">
        <v>9.87518438E9</v>
      </c>
      <c r="I8" s="4" t="s">
        <v>41</v>
      </c>
      <c r="J8" s="4">
        <v>2058.0</v>
      </c>
      <c r="K8" s="4" t="s">
        <v>42</v>
      </c>
      <c r="L8" s="4" t="s">
        <v>21</v>
      </c>
      <c r="M8" s="4" t="s">
        <v>7</v>
      </c>
      <c r="N8" s="4" t="s">
        <v>23</v>
      </c>
      <c r="O8" s="4" t="str">
        <f>IF('Table1 (2)'!$J8&lt;=4000,"small order","large order")</f>
        <v>small order</v>
      </c>
      <c r="P8" s="4" t="str">
        <f>IF('Table1 (2)'!$N8="completed","revenue realized","awaiting completion")</f>
        <v>revenue realized</v>
      </c>
      <c r="R8" s="3"/>
      <c r="S8" s="3"/>
    </row>
    <row r="9" ht="14.25" customHeight="1">
      <c r="A9" s="3">
        <v>108.0</v>
      </c>
      <c r="B9" s="4" t="s">
        <v>27</v>
      </c>
      <c r="C9" s="5">
        <v>46091.0</v>
      </c>
      <c r="D9" s="4" t="str">
        <f t="shared" si="1"/>
        <v>weekday</v>
      </c>
      <c r="E9" s="4">
        <f t="shared" si="2"/>
        <v>46426</v>
      </c>
      <c r="F9" s="6">
        <v>46101.0</v>
      </c>
      <c r="G9" s="4" t="str">
        <f t="shared" si="3"/>
        <v>old order</v>
      </c>
      <c r="H9" s="4">
        <v>9.428520226E9</v>
      </c>
      <c r="I9" s="4" t="s">
        <v>43</v>
      </c>
      <c r="J9" s="4">
        <v>4970.0</v>
      </c>
      <c r="K9" s="4" t="s">
        <v>29</v>
      </c>
      <c r="L9" s="4" t="s">
        <v>21</v>
      </c>
      <c r="M9" s="4" t="s">
        <v>34</v>
      </c>
      <c r="N9" s="4" t="s">
        <v>31</v>
      </c>
      <c r="O9" s="4" t="str">
        <f>IF('Table1 (2)'!$J9&lt;=4000,"small order","large order")</f>
        <v>large order</v>
      </c>
      <c r="P9" s="4" t="str">
        <f>IF('Table1 (2)'!$N9="completed","revenue realized","awaiting completion")</f>
        <v>awaiting completion</v>
      </c>
      <c r="R9" s="3"/>
      <c r="S9" s="3"/>
    </row>
    <row r="10" ht="14.25" customHeight="1">
      <c r="A10" s="3">
        <v>109.0</v>
      </c>
      <c r="B10" s="4" t="s">
        <v>24</v>
      </c>
      <c r="C10" s="5">
        <v>46092.0</v>
      </c>
      <c r="D10" s="4" t="str">
        <f t="shared" si="1"/>
        <v>weekday</v>
      </c>
      <c r="E10" s="4">
        <f t="shared" si="2"/>
        <v>21941</v>
      </c>
      <c r="F10" s="6">
        <v>46101.0</v>
      </c>
      <c r="G10" s="4" t="str">
        <f t="shared" si="3"/>
        <v>old order</v>
      </c>
      <c r="H10" s="4">
        <v>9.321418377E9</v>
      </c>
      <c r="I10" s="4" t="s">
        <v>44</v>
      </c>
      <c r="J10" s="4">
        <v>4108.0</v>
      </c>
      <c r="K10" s="4" t="s">
        <v>42</v>
      </c>
      <c r="L10" s="4" t="s">
        <v>38</v>
      </c>
      <c r="M10" s="4" t="s">
        <v>34</v>
      </c>
      <c r="N10" s="4" t="s">
        <v>23</v>
      </c>
      <c r="O10" s="4" t="str">
        <f>IF('Table1 (2)'!$J10&lt;=4000,"small order","large order")</f>
        <v>large order</v>
      </c>
      <c r="P10" s="4" t="str">
        <f>IF('Table1 (2)'!$N10="completed","revenue realized","awaiting completion")</f>
        <v>revenue realized</v>
      </c>
      <c r="R10" s="3"/>
      <c r="S10" s="3"/>
    </row>
    <row r="11" ht="14.25" customHeight="1">
      <c r="A11" s="3">
        <v>110.0</v>
      </c>
      <c r="B11" s="4" t="s">
        <v>45</v>
      </c>
      <c r="C11" s="5">
        <v>46091.0</v>
      </c>
      <c r="D11" s="4" t="str">
        <f t="shared" si="1"/>
        <v>weekday</v>
      </c>
      <c r="E11" s="4">
        <f t="shared" si="2"/>
        <v>37129</v>
      </c>
      <c r="F11" s="6">
        <v>46101.0</v>
      </c>
      <c r="G11" s="4" t="str">
        <f t="shared" si="3"/>
        <v>old order</v>
      </c>
      <c r="H11" s="4">
        <v>9.52573594E8</v>
      </c>
      <c r="I11" s="4" t="s">
        <v>46</v>
      </c>
      <c r="J11" s="4">
        <v>2697.0</v>
      </c>
      <c r="K11" s="4" t="s">
        <v>47</v>
      </c>
      <c r="L11" s="4" t="s">
        <v>21</v>
      </c>
      <c r="M11" s="4" t="s">
        <v>7</v>
      </c>
      <c r="N11" s="4" t="s">
        <v>23</v>
      </c>
      <c r="O11" s="4" t="str">
        <f>IF('Table1 (2)'!$J11&lt;=4000,"small order","large order")</f>
        <v>small order</v>
      </c>
      <c r="P11" s="4" t="str">
        <f>IF('Table1 (2)'!$N11="completed","revenue realized","awaiting completion")</f>
        <v>revenue realized</v>
      </c>
      <c r="R11" s="3"/>
      <c r="S11" s="3"/>
    </row>
    <row r="12" ht="14.25" customHeight="1">
      <c r="A12" s="3">
        <v>111.0</v>
      </c>
      <c r="B12" s="4" t="s">
        <v>35</v>
      </c>
      <c r="C12" s="5">
        <v>46089.0</v>
      </c>
      <c r="D12" s="4" t="str">
        <f t="shared" si="1"/>
        <v>weekday</v>
      </c>
      <c r="E12" s="4">
        <f t="shared" si="2"/>
        <v>37129</v>
      </c>
      <c r="F12" s="6">
        <v>46101.0</v>
      </c>
      <c r="G12" s="4" t="str">
        <f t="shared" si="3"/>
        <v>old order</v>
      </c>
      <c r="H12" s="4">
        <v>9088634.0</v>
      </c>
      <c r="I12" s="4" t="s">
        <v>48</v>
      </c>
      <c r="J12" s="4">
        <v>2226.0</v>
      </c>
      <c r="K12" s="4" t="s">
        <v>29</v>
      </c>
      <c r="L12" s="4" t="s">
        <v>21</v>
      </c>
      <c r="M12" s="4" t="s">
        <v>22</v>
      </c>
      <c r="N12" s="4" t="s">
        <v>23</v>
      </c>
      <c r="O12" s="4" t="str">
        <f>IF('Table1 (2)'!$J12&lt;=4000,"small order","large order")</f>
        <v>small order</v>
      </c>
      <c r="P12" s="4" t="str">
        <f>IF('Table1 (2)'!$N12="completed","revenue realized","awaiting completion")</f>
        <v>revenue realized</v>
      </c>
    </row>
    <row r="13" ht="14.25" customHeight="1">
      <c r="A13" s="3">
        <v>112.0</v>
      </c>
      <c r="B13" s="4" t="s">
        <v>49</v>
      </c>
      <c r="C13" s="5">
        <v>46097.0</v>
      </c>
      <c r="D13" s="4" t="str">
        <f t="shared" si="1"/>
        <v>weekday</v>
      </c>
      <c r="E13" s="4">
        <f t="shared" si="2"/>
        <v>39675</v>
      </c>
      <c r="F13" s="6">
        <v>46101.0</v>
      </c>
      <c r="G13" s="4" t="str">
        <f t="shared" si="3"/>
        <v>recent order</v>
      </c>
      <c r="H13" s="4">
        <v>9.32737462E9</v>
      </c>
      <c r="I13" s="4" t="s">
        <v>50</v>
      </c>
      <c r="J13" s="4">
        <v>2141.0</v>
      </c>
      <c r="K13" s="4" t="s">
        <v>51</v>
      </c>
      <c r="L13" s="4" t="s">
        <v>21</v>
      </c>
      <c r="M13" s="4" t="s">
        <v>30</v>
      </c>
      <c r="N13" s="4" t="s">
        <v>23</v>
      </c>
      <c r="O13" s="4" t="str">
        <f>IF('Table1 (2)'!$J13&lt;=4000,"small order","large order")</f>
        <v>small order</v>
      </c>
      <c r="P13" s="4" t="str">
        <f>IF('Table1 (2)'!$N13="completed","revenue realized","awaiting completion")</f>
        <v>revenue realized</v>
      </c>
    </row>
    <row r="14" ht="14.25" customHeight="1">
      <c r="A14" s="3">
        <v>113.0</v>
      </c>
      <c r="B14" s="4" t="s">
        <v>24</v>
      </c>
      <c r="C14" s="5">
        <v>46097.0</v>
      </c>
      <c r="D14" s="4" t="str">
        <f t="shared" si="1"/>
        <v>weekday</v>
      </c>
      <c r="E14" s="4">
        <f t="shared" si="2"/>
        <v>30576</v>
      </c>
      <c r="F14" s="6">
        <v>46101.0</v>
      </c>
      <c r="G14" s="4" t="str">
        <f t="shared" si="3"/>
        <v>recent order</v>
      </c>
      <c r="H14" s="4">
        <v>9.09030091E8</v>
      </c>
      <c r="I14" s="4" t="s">
        <v>39</v>
      </c>
      <c r="J14" s="4">
        <v>4944.0</v>
      </c>
      <c r="K14" s="4" t="s">
        <v>42</v>
      </c>
      <c r="L14" s="4" t="s">
        <v>21</v>
      </c>
      <c r="M14" s="4" t="s">
        <v>30</v>
      </c>
      <c r="N14" s="4" t="s">
        <v>31</v>
      </c>
      <c r="O14" s="4" t="str">
        <f>IF('Table1 (2)'!$J14&lt;=4000,"small order","large order")</f>
        <v>large order</v>
      </c>
      <c r="P14" s="4" t="str">
        <f>IF('Table1 (2)'!$N14="completed","revenue realized","awaiting completion")</f>
        <v>awaiting completion</v>
      </c>
    </row>
    <row r="15" ht="14.25" customHeight="1">
      <c r="A15" s="3">
        <v>114.0</v>
      </c>
      <c r="B15" s="4" t="s">
        <v>52</v>
      </c>
      <c r="C15" s="5">
        <v>46095.0</v>
      </c>
      <c r="D15" s="4" t="str">
        <f t="shared" si="1"/>
        <v>weekend</v>
      </c>
      <c r="E15" s="4">
        <f t="shared" si="2"/>
        <v>45847</v>
      </c>
      <c r="F15" s="6">
        <v>46101.0</v>
      </c>
      <c r="G15" s="4" t="str">
        <f t="shared" si="3"/>
        <v>recent order</v>
      </c>
      <c r="H15" s="4">
        <v>9.49786321E8</v>
      </c>
      <c r="I15" s="4" t="s">
        <v>53</v>
      </c>
      <c r="J15" s="4">
        <v>5223.0</v>
      </c>
      <c r="K15" s="4" t="s">
        <v>42</v>
      </c>
      <c r="L15" s="4" t="s">
        <v>21</v>
      </c>
      <c r="M15" s="4" t="s">
        <v>34</v>
      </c>
      <c r="N15" s="4" t="s">
        <v>23</v>
      </c>
      <c r="O15" s="4" t="str">
        <f>IF('Table1 (2)'!$J15&lt;=4000,"small order","large order")</f>
        <v>large order</v>
      </c>
      <c r="P15" s="4" t="str">
        <f>IF('Table1 (2)'!$N15="completed","revenue realized","awaiting completion")</f>
        <v>revenue realized</v>
      </c>
      <c r="R15" s="7">
        <f>SUMIF(K2:K101,K2,J2:J101)</f>
        <v>21089</v>
      </c>
    </row>
    <row r="16" ht="14.25" customHeight="1">
      <c r="A16" s="3">
        <v>115.0</v>
      </c>
      <c r="B16" s="4" t="s">
        <v>24</v>
      </c>
      <c r="C16" s="5">
        <v>46088.0</v>
      </c>
      <c r="D16" s="4" t="str">
        <f t="shared" si="1"/>
        <v>weekend</v>
      </c>
      <c r="E16" s="4">
        <f t="shared" si="2"/>
        <v>37709</v>
      </c>
      <c r="F16" s="6">
        <v>46101.0</v>
      </c>
      <c r="G16" s="4" t="str">
        <f t="shared" si="3"/>
        <v>old order</v>
      </c>
      <c r="H16" s="4">
        <v>9.207171738E9</v>
      </c>
      <c r="I16" s="4" t="s">
        <v>39</v>
      </c>
      <c r="J16" s="4">
        <v>5566.0</v>
      </c>
      <c r="K16" s="4" t="s">
        <v>42</v>
      </c>
      <c r="L16" s="4" t="s">
        <v>21</v>
      </c>
      <c r="M16" s="4" t="s">
        <v>7</v>
      </c>
      <c r="N16" s="4" t="s">
        <v>31</v>
      </c>
      <c r="O16" s="4" t="str">
        <f>IF('Table1 (2)'!$J16&lt;=4000,"small order","large order")</f>
        <v>large order</v>
      </c>
      <c r="P16" s="4" t="str">
        <f>IF('Table1 (2)'!$N16="completed","revenue realized","awaiting completion")</f>
        <v>awaiting completion</v>
      </c>
      <c r="R16" s="7">
        <f>SUMIF(K2:K101,K3,J2:J101)</f>
        <v>28757</v>
      </c>
    </row>
    <row r="17" ht="14.25" customHeight="1">
      <c r="A17" s="3">
        <v>116.0</v>
      </c>
      <c r="B17" s="4" t="s">
        <v>18</v>
      </c>
      <c r="C17" s="5">
        <v>46092.0</v>
      </c>
      <c r="D17" s="4" t="str">
        <f t="shared" si="1"/>
        <v>weekday</v>
      </c>
      <c r="E17" s="4">
        <f t="shared" si="2"/>
        <v>20829</v>
      </c>
      <c r="F17" s="6">
        <v>46101.0</v>
      </c>
      <c r="G17" s="4" t="str">
        <f t="shared" si="3"/>
        <v>old order</v>
      </c>
      <c r="H17" s="4">
        <v>9.560797352E9</v>
      </c>
      <c r="I17" s="4" t="s">
        <v>41</v>
      </c>
      <c r="J17" s="4">
        <v>2080.0</v>
      </c>
      <c r="K17" s="4" t="s">
        <v>54</v>
      </c>
      <c r="L17" s="4" t="s">
        <v>21</v>
      </c>
      <c r="M17" s="4" t="s">
        <v>30</v>
      </c>
      <c r="N17" s="4" t="s">
        <v>23</v>
      </c>
      <c r="O17" s="4" t="str">
        <f>IF('Table1 (2)'!$J17&lt;=4000,"small order","large order")</f>
        <v>small order</v>
      </c>
      <c r="P17" s="4" t="str">
        <f>IF('Table1 (2)'!$N17="completed","revenue realized","awaiting completion")</f>
        <v>revenue realized</v>
      </c>
      <c r="R17" s="7">
        <f>SUMIF(K2:K101,K4,J2:J101)</f>
        <v>51059</v>
      </c>
    </row>
    <row r="18" ht="14.25" customHeight="1">
      <c r="A18" s="3">
        <v>117.0</v>
      </c>
      <c r="B18" s="4" t="s">
        <v>35</v>
      </c>
      <c r="C18" s="5">
        <v>46090.0</v>
      </c>
      <c r="D18" s="4" t="str">
        <f t="shared" si="1"/>
        <v>weekday</v>
      </c>
      <c r="E18" s="4">
        <f t="shared" si="2"/>
        <v>14207</v>
      </c>
      <c r="F18" s="6">
        <v>46101.0</v>
      </c>
      <c r="G18" s="4" t="str">
        <f t="shared" si="3"/>
        <v>old order</v>
      </c>
      <c r="H18" s="4">
        <v>9.986023765E9</v>
      </c>
      <c r="I18" s="4" t="s">
        <v>36</v>
      </c>
      <c r="J18" s="4">
        <v>3548.0</v>
      </c>
      <c r="K18" s="4" t="s">
        <v>37</v>
      </c>
      <c r="L18" s="4" t="s">
        <v>38</v>
      </c>
      <c r="M18" s="4" t="s">
        <v>30</v>
      </c>
      <c r="N18" s="4" t="s">
        <v>31</v>
      </c>
      <c r="O18" s="4" t="str">
        <f>IF('Table1 (2)'!$J18&lt;=4000,"small order","large order")</f>
        <v>small order</v>
      </c>
      <c r="P18" s="4" t="str">
        <f>IF('Table1 (2)'!$N18="completed","revenue realized","awaiting completion")</f>
        <v>awaiting completion</v>
      </c>
      <c r="R18" s="7" t="str">
        <f>IF(R15&gt;=20000,"exceeding","not exceeding")</f>
        <v>exceeding</v>
      </c>
    </row>
    <row r="19" ht="14.25" customHeight="1">
      <c r="A19" s="3">
        <v>118.0</v>
      </c>
      <c r="B19" s="4" t="s">
        <v>18</v>
      </c>
      <c r="C19" s="5">
        <v>46094.0</v>
      </c>
      <c r="D19" s="4" t="str">
        <f t="shared" si="1"/>
        <v>weekend</v>
      </c>
      <c r="E19" s="4">
        <f t="shared" si="2"/>
        <v>19715</v>
      </c>
      <c r="F19" s="6">
        <v>46101.0</v>
      </c>
      <c r="G19" s="4" t="str">
        <f t="shared" si="3"/>
        <v>recent order</v>
      </c>
      <c r="H19" s="4">
        <v>9239533.0</v>
      </c>
      <c r="I19" s="4" t="s">
        <v>19</v>
      </c>
      <c r="J19" s="4">
        <v>2991.0</v>
      </c>
      <c r="K19" s="4" t="s">
        <v>51</v>
      </c>
      <c r="L19" s="4" t="s">
        <v>21</v>
      </c>
      <c r="M19" s="4" t="s">
        <v>34</v>
      </c>
      <c r="N19" s="4" t="s">
        <v>23</v>
      </c>
      <c r="O19" s="4" t="str">
        <f>IF('Table1 (2)'!$J19&lt;=4000,"small order","large order")</f>
        <v>small order</v>
      </c>
      <c r="P19" s="4" t="str">
        <f>IF('Table1 (2)'!$N19="completed","revenue realized","awaiting completion")</f>
        <v>revenue realized</v>
      </c>
    </row>
    <row r="20" ht="14.25" customHeight="1">
      <c r="A20" s="3">
        <v>119.0</v>
      </c>
      <c r="B20" s="4" t="s">
        <v>18</v>
      </c>
      <c r="C20" s="5">
        <v>46093.0</v>
      </c>
      <c r="D20" s="4" t="str">
        <f t="shared" si="1"/>
        <v>weekday</v>
      </c>
      <c r="E20" s="4">
        <f t="shared" si="2"/>
        <v>43767</v>
      </c>
      <c r="F20" s="6">
        <v>46101.0</v>
      </c>
      <c r="G20" s="4" t="str">
        <f t="shared" si="3"/>
        <v>old order</v>
      </c>
      <c r="H20" s="4">
        <v>9.309635814E9</v>
      </c>
      <c r="I20" s="4" t="s">
        <v>41</v>
      </c>
      <c r="J20" s="4">
        <v>3238.0</v>
      </c>
      <c r="K20" s="4" t="s">
        <v>29</v>
      </c>
      <c r="L20" s="4" t="s">
        <v>38</v>
      </c>
      <c r="M20" s="4" t="s">
        <v>22</v>
      </c>
      <c r="N20" s="4" t="s">
        <v>31</v>
      </c>
      <c r="O20" s="4" t="str">
        <f>IF('Table1 (2)'!$J20&lt;=4000,"small order","large order")</f>
        <v>small order</v>
      </c>
      <c r="P20" s="4" t="str">
        <f>IF('Table1 (2)'!$N20="completed","revenue realized","awaiting completion")</f>
        <v>awaiting completion</v>
      </c>
    </row>
    <row r="21" ht="14.25" customHeight="1">
      <c r="A21" s="3">
        <v>120.0</v>
      </c>
      <c r="B21" s="4" t="s">
        <v>24</v>
      </c>
      <c r="C21" s="5">
        <v>46089.0</v>
      </c>
      <c r="D21" s="4" t="str">
        <f t="shared" si="1"/>
        <v>weekday</v>
      </c>
      <c r="E21" s="4">
        <f t="shared" si="2"/>
        <v>38759</v>
      </c>
      <c r="F21" s="6">
        <v>46101.0</v>
      </c>
      <c r="G21" s="4" t="str">
        <f t="shared" si="3"/>
        <v>old order</v>
      </c>
      <c r="H21" s="4">
        <v>9.587836292E9</v>
      </c>
      <c r="I21" s="4" t="s">
        <v>44</v>
      </c>
      <c r="J21" s="4">
        <v>5291.0</v>
      </c>
      <c r="K21" s="4" t="s">
        <v>42</v>
      </c>
      <c r="L21" s="4" t="s">
        <v>38</v>
      </c>
      <c r="M21" s="4" t="s">
        <v>34</v>
      </c>
      <c r="N21" s="4" t="s">
        <v>31</v>
      </c>
      <c r="O21" s="4" t="str">
        <f>IF('Table1 (2)'!$J21&lt;=4000,"small order","large order")</f>
        <v>large order</v>
      </c>
      <c r="P21" s="4" t="str">
        <f>IF('Table1 (2)'!$N21="completed","revenue realized","awaiting completion")</f>
        <v>awaiting completion</v>
      </c>
    </row>
    <row r="22" ht="14.25" customHeight="1">
      <c r="A22" s="3">
        <v>121.0</v>
      </c>
      <c r="B22" s="4" t="s">
        <v>35</v>
      </c>
      <c r="C22" s="5">
        <v>46092.0</v>
      </c>
      <c r="D22" s="4" t="str">
        <f t="shared" si="1"/>
        <v>weekday</v>
      </c>
      <c r="E22" s="4">
        <f t="shared" si="2"/>
        <v>34452</v>
      </c>
      <c r="F22" s="6">
        <v>46101.0</v>
      </c>
      <c r="G22" s="4" t="str">
        <f t="shared" si="3"/>
        <v>old order</v>
      </c>
      <c r="H22" s="4">
        <v>9.16643649E9</v>
      </c>
      <c r="I22" s="4" t="s">
        <v>36</v>
      </c>
      <c r="J22" s="4">
        <v>4925.0</v>
      </c>
      <c r="K22" s="4" t="s">
        <v>47</v>
      </c>
      <c r="L22" s="4" t="s">
        <v>21</v>
      </c>
      <c r="M22" s="4" t="s">
        <v>22</v>
      </c>
      <c r="N22" s="4" t="s">
        <v>23</v>
      </c>
      <c r="O22" s="4" t="str">
        <f>IF('Table1 (2)'!$J22&lt;=4000,"small order","large order")</f>
        <v>large order</v>
      </c>
      <c r="P22" s="4" t="str">
        <f>IF('Table1 (2)'!$N22="completed","revenue realized","awaiting completion")</f>
        <v>revenue realized</v>
      </c>
    </row>
    <row r="23" ht="14.25" customHeight="1">
      <c r="A23" s="3">
        <v>122.0</v>
      </c>
      <c r="B23" s="4" t="s">
        <v>52</v>
      </c>
      <c r="C23" s="5">
        <v>46091.0</v>
      </c>
      <c r="D23" s="4" t="str">
        <f t="shared" si="1"/>
        <v>weekday</v>
      </c>
      <c r="E23" s="4">
        <f t="shared" si="2"/>
        <v>38759</v>
      </c>
      <c r="F23" s="6">
        <v>46101.0</v>
      </c>
      <c r="G23" s="4" t="str">
        <f t="shared" si="3"/>
        <v>old order</v>
      </c>
      <c r="H23" s="4">
        <v>9.302112943E9</v>
      </c>
      <c r="I23" s="4" t="s">
        <v>53</v>
      </c>
      <c r="J23" s="4">
        <v>5627.0</v>
      </c>
      <c r="K23" s="4" t="s">
        <v>42</v>
      </c>
      <c r="L23" s="4" t="s">
        <v>38</v>
      </c>
      <c r="M23" s="4" t="s">
        <v>30</v>
      </c>
      <c r="N23" s="4" t="s">
        <v>55</v>
      </c>
      <c r="O23" s="4" t="str">
        <f>IF('Table1 (2)'!$J23&lt;=4000,"small order","large order")</f>
        <v>large order</v>
      </c>
      <c r="P23" s="4" t="str">
        <f>IF('Table1 (2)'!$N23="completed","revenue realized","awaiting completion")</f>
        <v>awaiting completion</v>
      </c>
    </row>
    <row r="24" ht="14.25" customHeight="1">
      <c r="A24" s="3">
        <v>123.0</v>
      </c>
      <c r="B24" s="4" t="s">
        <v>56</v>
      </c>
      <c r="C24" s="5">
        <v>46095.0</v>
      </c>
      <c r="D24" s="4" t="str">
        <f t="shared" si="1"/>
        <v>weekend</v>
      </c>
      <c r="E24" s="4">
        <f t="shared" si="2"/>
        <v>38842</v>
      </c>
      <c r="F24" s="6">
        <v>46101.0</v>
      </c>
      <c r="G24" s="4" t="str">
        <f t="shared" si="3"/>
        <v>recent order</v>
      </c>
      <c r="H24" s="4">
        <v>9.651517836E9</v>
      </c>
      <c r="I24" s="4" t="s">
        <v>57</v>
      </c>
      <c r="J24" s="4">
        <v>2836.0</v>
      </c>
      <c r="K24" s="4" t="s">
        <v>26</v>
      </c>
      <c r="L24" s="4" t="s">
        <v>21</v>
      </c>
      <c r="M24" s="4" t="s">
        <v>7</v>
      </c>
      <c r="N24" s="4" t="s">
        <v>55</v>
      </c>
      <c r="O24" s="4" t="str">
        <f>IF('Table1 (2)'!$J24&lt;=4000,"small order","large order")</f>
        <v>small order</v>
      </c>
      <c r="P24" s="4" t="str">
        <f>IF('Table1 (2)'!$N24="completed","revenue realized","awaiting completion")</f>
        <v>awaiting completion</v>
      </c>
    </row>
    <row r="25" ht="14.25" customHeight="1">
      <c r="A25" s="3">
        <v>124.0</v>
      </c>
      <c r="B25" s="4" t="s">
        <v>58</v>
      </c>
      <c r="C25" s="5">
        <v>46091.0</v>
      </c>
      <c r="D25" s="4" t="str">
        <f t="shared" si="1"/>
        <v>weekday</v>
      </c>
      <c r="E25" s="4">
        <f t="shared" si="2"/>
        <v>38842</v>
      </c>
      <c r="F25" s="6">
        <v>46101.0</v>
      </c>
      <c r="G25" s="4" t="str">
        <f t="shared" si="3"/>
        <v>old order</v>
      </c>
      <c r="H25" s="4">
        <v>9.45645056E9</v>
      </c>
      <c r="I25" s="4" t="s">
        <v>59</v>
      </c>
      <c r="J25" s="4">
        <v>3540.0</v>
      </c>
      <c r="K25" s="4" t="s">
        <v>29</v>
      </c>
      <c r="L25" s="4" t="s">
        <v>21</v>
      </c>
      <c r="M25" s="4" t="s">
        <v>7</v>
      </c>
      <c r="N25" s="4" t="s">
        <v>23</v>
      </c>
      <c r="O25" s="4" t="str">
        <f>IF('Table1 (2)'!$J25&lt;=4000,"small order","large order")</f>
        <v>small order</v>
      </c>
      <c r="P25" s="4" t="str">
        <f>IF('Table1 (2)'!$N25="completed","revenue realized","awaiting completion")</f>
        <v>revenue realized</v>
      </c>
    </row>
    <row r="26" ht="14.25" customHeight="1">
      <c r="A26" s="3">
        <v>125.0</v>
      </c>
      <c r="B26" s="4" t="s">
        <v>49</v>
      </c>
      <c r="C26" s="5">
        <v>46092.0</v>
      </c>
      <c r="D26" s="4" t="str">
        <f t="shared" si="1"/>
        <v>weekday</v>
      </c>
      <c r="E26" s="4">
        <f t="shared" si="2"/>
        <v>10969</v>
      </c>
      <c r="F26" s="6">
        <v>46101.0</v>
      </c>
      <c r="G26" s="4" t="str">
        <f t="shared" si="3"/>
        <v>old order</v>
      </c>
      <c r="H26" s="4">
        <v>9.490687752E9</v>
      </c>
      <c r="I26" s="4" t="s">
        <v>50</v>
      </c>
      <c r="J26" s="4">
        <v>4899.0</v>
      </c>
      <c r="K26" s="4" t="s">
        <v>47</v>
      </c>
      <c r="L26" s="4" t="s">
        <v>38</v>
      </c>
      <c r="M26" s="4" t="s">
        <v>34</v>
      </c>
      <c r="N26" s="4" t="s">
        <v>23</v>
      </c>
      <c r="O26" s="4" t="str">
        <f>IF('Table1 (2)'!$J26&lt;=4000,"small order","large order")</f>
        <v>large order</v>
      </c>
      <c r="P26" s="4" t="str">
        <f>IF('Table1 (2)'!$N26="completed","revenue realized","awaiting completion")</f>
        <v>revenue realized</v>
      </c>
    </row>
    <row r="27" ht="14.25" customHeight="1">
      <c r="A27" s="3">
        <v>126.0</v>
      </c>
      <c r="B27" s="4" t="s">
        <v>27</v>
      </c>
      <c r="C27" s="5">
        <v>46092.0</v>
      </c>
      <c r="D27" s="4" t="str">
        <f t="shared" si="1"/>
        <v>weekday</v>
      </c>
      <c r="E27" s="4">
        <f t="shared" si="2"/>
        <v>26244</v>
      </c>
      <c r="F27" s="6">
        <v>46101.0</v>
      </c>
      <c r="G27" s="4" t="str">
        <f t="shared" si="3"/>
        <v>old order</v>
      </c>
      <c r="H27" s="4">
        <v>9.026633344E9</v>
      </c>
      <c r="I27" s="4" t="s">
        <v>28</v>
      </c>
      <c r="J27" s="4">
        <v>1311.0</v>
      </c>
      <c r="K27" s="4" t="s">
        <v>29</v>
      </c>
      <c r="L27" s="4" t="s">
        <v>21</v>
      </c>
      <c r="M27" s="4" t="s">
        <v>7</v>
      </c>
      <c r="N27" s="4" t="s">
        <v>55</v>
      </c>
      <c r="O27" s="4" t="str">
        <f>IF('Table1 (2)'!$J27&lt;=4000,"small order","large order")</f>
        <v>small order</v>
      </c>
      <c r="P27" s="4" t="str">
        <f>IF('Table1 (2)'!$N27="completed","revenue realized","awaiting completion")</f>
        <v>awaiting completion</v>
      </c>
    </row>
    <row r="28" ht="14.25" customHeight="1">
      <c r="A28" s="3">
        <v>127.0</v>
      </c>
      <c r="B28" s="4" t="s">
        <v>58</v>
      </c>
      <c r="C28" s="5">
        <v>46093.0</v>
      </c>
      <c r="D28" s="4" t="str">
        <f t="shared" si="1"/>
        <v>weekday</v>
      </c>
      <c r="E28" s="4">
        <f t="shared" si="2"/>
        <v>32632</v>
      </c>
      <c r="F28" s="6">
        <v>46101.0</v>
      </c>
      <c r="G28" s="4" t="str">
        <f t="shared" si="3"/>
        <v>old order</v>
      </c>
      <c r="H28" s="4">
        <v>9.822113157E9</v>
      </c>
      <c r="I28" s="4" t="s">
        <v>60</v>
      </c>
      <c r="J28" s="4">
        <v>4303.0</v>
      </c>
      <c r="K28" s="4" t="s">
        <v>61</v>
      </c>
      <c r="L28" s="4" t="s">
        <v>38</v>
      </c>
      <c r="M28" s="4" t="s">
        <v>7</v>
      </c>
      <c r="N28" s="4" t="s">
        <v>23</v>
      </c>
      <c r="O28" s="4" t="str">
        <f>IF('Table1 (2)'!$J28&lt;=4000,"small order","large order")</f>
        <v>large order</v>
      </c>
      <c r="P28" s="4" t="str">
        <f>IF('Table1 (2)'!$N28="completed","revenue realized","awaiting completion")</f>
        <v>revenue realized</v>
      </c>
    </row>
    <row r="29" ht="14.25" customHeight="1">
      <c r="A29" s="3">
        <v>128.0</v>
      </c>
      <c r="B29" s="4" t="s">
        <v>35</v>
      </c>
      <c r="C29" s="5">
        <v>46096.0</v>
      </c>
      <c r="D29" s="4" t="str">
        <f t="shared" si="1"/>
        <v>weekday</v>
      </c>
      <c r="E29" s="4">
        <f t="shared" si="2"/>
        <v>30044</v>
      </c>
      <c r="F29" s="6">
        <v>46101.0</v>
      </c>
      <c r="G29" s="4" t="str">
        <f t="shared" si="3"/>
        <v>recent order</v>
      </c>
      <c r="H29" s="4">
        <v>9926148.0</v>
      </c>
      <c r="I29" s="4" t="s">
        <v>36</v>
      </c>
      <c r="J29" s="4">
        <v>4510.0</v>
      </c>
      <c r="K29" s="4" t="s">
        <v>20</v>
      </c>
      <c r="L29" s="4" t="s">
        <v>21</v>
      </c>
      <c r="M29" s="4" t="s">
        <v>22</v>
      </c>
      <c r="N29" s="4" t="s">
        <v>55</v>
      </c>
      <c r="O29" s="4" t="str">
        <f>IF('Table1 (2)'!$J29&lt;=4000,"small order","large order")</f>
        <v>large order</v>
      </c>
      <c r="P29" s="4" t="str">
        <f>IF('Table1 (2)'!$N29="completed","revenue realized","awaiting completion")</f>
        <v>awaiting completion</v>
      </c>
    </row>
    <row r="30" ht="14.25" customHeight="1">
      <c r="A30" s="3">
        <v>129.0</v>
      </c>
      <c r="B30" s="4" t="s">
        <v>24</v>
      </c>
      <c r="C30" s="5">
        <v>46092.0</v>
      </c>
      <c r="D30" s="4" t="str">
        <f t="shared" si="1"/>
        <v>weekday</v>
      </c>
      <c r="E30" s="4">
        <f t="shared" si="2"/>
        <v>25010</v>
      </c>
      <c r="F30" s="6">
        <v>46101.0</v>
      </c>
      <c r="G30" s="4" t="str">
        <f t="shared" si="3"/>
        <v>old order</v>
      </c>
      <c r="H30" s="4">
        <v>9.840168459E9</v>
      </c>
      <c r="I30" s="4" t="s">
        <v>44</v>
      </c>
      <c r="J30" s="4">
        <v>1605.0</v>
      </c>
      <c r="K30" s="4" t="s">
        <v>29</v>
      </c>
      <c r="L30" s="4" t="s">
        <v>38</v>
      </c>
      <c r="M30" s="4" t="s">
        <v>22</v>
      </c>
      <c r="N30" s="4" t="s">
        <v>31</v>
      </c>
      <c r="O30" s="4" t="str">
        <f>IF('Table1 (2)'!$J30&lt;=4000,"small order","large order")</f>
        <v>small order</v>
      </c>
      <c r="P30" s="4" t="str">
        <f>IF('Table1 (2)'!$N30="completed","revenue realized","awaiting completion")</f>
        <v>awaiting completion</v>
      </c>
    </row>
    <row r="31" ht="14.25" customHeight="1">
      <c r="A31" s="3">
        <v>130.0</v>
      </c>
      <c r="B31" s="4" t="s">
        <v>49</v>
      </c>
      <c r="C31" s="5">
        <v>46097.0</v>
      </c>
      <c r="D31" s="4" t="str">
        <f t="shared" si="1"/>
        <v>weekday</v>
      </c>
      <c r="E31" s="4">
        <f t="shared" si="2"/>
        <v>29592</v>
      </c>
      <c r="F31" s="6">
        <v>46101.0</v>
      </c>
      <c r="G31" s="4" t="str">
        <f t="shared" si="3"/>
        <v>recent order</v>
      </c>
      <c r="H31" s="4">
        <v>9.77876612E8</v>
      </c>
      <c r="I31" s="4" t="s">
        <v>62</v>
      </c>
      <c r="J31" s="4">
        <v>4456.0</v>
      </c>
      <c r="K31" s="4" t="s">
        <v>47</v>
      </c>
      <c r="L31" s="4" t="s">
        <v>38</v>
      </c>
      <c r="M31" s="4" t="s">
        <v>34</v>
      </c>
      <c r="N31" s="4" t="s">
        <v>55</v>
      </c>
      <c r="O31" s="4" t="str">
        <f>IF('Table1 (2)'!$J31&lt;=4000,"small order","large order")</f>
        <v>large order</v>
      </c>
      <c r="P31" s="4" t="str">
        <f>IF('Table1 (2)'!$N31="completed","revenue realized","awaiting completion")</f>
        <v>awaiting completion</v>
      </c>
    </row>
    <row r="32" ht="14.25" customHeight="1">
      <c r="A32" s="3">
        <v>131.0</v>
      </c>
      <c r="B32" s="4" t="s">
        <v>18</v>
      </c>
      <c r="C32" s="5">
        <v>46088.0</v>
      </c>
      <c r="D32" s="4" t="str">
        <f t="shared" si="1"/>
        <v>weekend</v>
      </c>
      <c r="E32" s="4">
        <f t="shared" si="2"/>
        <v>6666</v>
      </c>
      <c r="F32" s="6">
        <v>46101.0</v>
      </c>
      <c r="G32" s="4" t="str">
        <f t="shared" si="3"/>
        <v>old order</v>
      </c>
      <c r="H32" s="4">
        <v>9006350.0</v>
      </c>
      <c r="I32" s="4" t="s">
        <v>63</v>
      </c>
      <c r="J32" s="4">
        <v>3139.0</v>
      </c>
      <c r="K32" s="4" t="s">
        <v>29</v>
      </c>
      <c r="L32" s="4" t="s">
        <v>38</v>
      </c>
      <c r="M32" s="4" t="s">
        <v>30</v>
      </c>
      <c r="N32" s="4" t="s">
        <v>31</v>
      </c>
      <c r="O32" s="4" t="str">
        <f>IF('Table1 (2)'!$J32&lt;=4000,"small order","large order")</f>
        <v>small order</v>
      </c>
      <c r="P32" s="4" t="str">
        <f>IF('Table1 (2)'!$N32="completed","revenue realized","awaiting completion")</f>
        <v>awaiting completion</v>
      </c>
    </row>
    <row r="33" ht="14.25" customHeight="1">
      <c r="A33" s="3">
        <v>132.0</v>
      </c>
      <c r="B33" s="4" t="s">
        <v>35</v>
      </c>
      <c r="C33" s="5">
        <v>46091.0</v>
      </c>
      <c r="D33" s="4" t="str">
        <f t="shared" si="1"/>
        <v>weekday</v>
      </c>
      <c r="E33" s="4">
        <f t="shared" si="2"/>
        <v>31616</v>
      </c>
      <c r="F33" s="6">
        <v>46101.0</v>
      </c>
      <c r="G33" s="4" t="str">
        <f t="shared" si="3"/>
        <v>old order</v>
      </c>
      <c r="H33" s="4">
        <v>9.357446896E9</v>
      </c>
      <c r="I33" s="4" t="s">
        <v>48</v>
      </c>
      <c r="J33" s="4">
        <v>2125.0</v>
      </c>
      <c r="K33" s="4" t="s">
        <v>40</v>
      </c>
      <c r="L33" s="4" t="s">
        <v>38</v>
      </c>
      <c r="M33" s="4" t="s">
        <v>34</v>
      </c>
      <c r="N33" s="4" t="s">
        <v>23</v>
      </c>
      <c r="O33" s="4" t="str">
        <f>IF('Table1 (2)'!$J33&lt;=4000,"small order","large order")</f>
        <v>small order</v>
      </c>
      <c r="P33" s="4" t="str">
        <f>IF('Table1 (2)'!$N33="completed","revenue realized","awaiting completion")</f>
        <v>revenue realized</v>
      </c>
    </row>
    <row r="34" ht="14.25" customHeight="1">
      <c r="A34" s="3">
        <v>133.0</v>
      </c>
      <c r="B34" s="4" t="s">
        <v>32</v>
      </c>
      <c r="C34" s="5">
        <v>46093.0</v>
      </c>
      <c r="D34" s="4" t="str">
        <f t="shared" si="1"/>
        <v>weekday</v>
      </c>
      <c r="E34" s="4">
        <f t="shared" si="2"/>
        <v>21871</v>
      </c>
      <c r="F34" s="6">
        <v>46101.0</v>
      </c>
      <c r="G34" s="4" t="str">
        <f t="shared" si="3"/>
        <v>old order</v>
      </c>
      <c r="H34" s="4">
        <v>9.738174111E9</v>
      </c>
      <c r="I34" s="4" t="s">
        <v>33</v>
      </c>
      <c r="J34" s="4">
        <v>5414.0</v>
      </c>
      <c r="K34" s="4" t="s">
        <v>61</v>
      </c>
      <c r="L34" s="4" t="s">
        <v>38</v>
      </c>
      <c r="M34" s="4" t="s">
        <v>30</v>
      </c>
      <c r="N34" s="4" t="s">
        <v>23</v>
      </c>
      <c r="O34" s="4" t="str">
        <f>IF('Table1 (2)'!$J34&lt;=4000,"small order","large order")</f>
        <v>large order</v>
      </c>
      <c r="P34" s="4" t="str">
        <f>IF('Table1 (2)'!$N34="completed","revenue realized","awaiting completion")</f>
        <v>revenue realized</v>
      </c>
    </row>
    <row r="35" ht="14.25" customHeight="1">
      <c r="A35" s="3">
        <v>134.0</v>
      </c>
      <c r="B35" s="4" t="s">
        <v>24</v>
      </c>
      <c r="C35" s="5">
        <v>46095.0</v>
      </c>
      <c r="D35" s="4" t="str">
        <f t="shared" si="1"/>
        <v>weekend</v>
      </c>
      <c r="E35" s="4">
        <f t="shared" si="2"/>
        <v>31616</v>
      </c>
      <c r="F35" s="6">
        <v>46101.0</v>
      </c>
      <c r="G35" s="4" t="str">
        <f t="shared" si="3"/>
        <v>recent order</v>
      </c>
      <c r="H35" s="4">
        <v>9.082092328E9</v>
      </c>
      <c r="I35" s="4" t="s">
        <v>44</v>
      </c>
      <c r="J35" s="4">
        <v>3078.0</v>
      </c>
      <c r="K35" s="4" t="s">
        <v>47</v>
      </c>
      <c r="L35" s="4" t="s">
        <v>38</v>
      </c>
      <c r="M35" s="4" t="s">
        <v>7</v>
      </c>
      <c r="N35" s="4" t="s">
        <v>23</v>
      </c>
      <c r="O35" s="4" t="str">
        <f>IF('Table1 (2)'!$J35&lt;=4000,"small order","large order")</f>
        <v>small order</v>
      </c>
      <c r="P35" s="4" t="str">
        <f>IF('Table1 (2)'!$N35="completed","revenue realized","awaiting completion")</f>
        <v>revenue realized</v>
      </c>
    </row>
    <row r="36" ht="14.25" customHeight="1">
      <c r="A36" s="3">
        <v>135.0</v>
      </c>
      <c r="B36" s="4" t="s">
        <v>58</v>
      </c>
      <c r="C36" s="5">
        <v>46088.0</v>
      </c>
      <c r="D36" s="4" t="str">
        <f t="shared" si="1"/>
        <v>weekend</v>
      </c>
      <c r="E36" s="4">
        <f t="shared" si="2"/>
        <v>31027</v>
      </c>
      <c r="F36" s="6">
        <v>46101.0</v>
      </c>
      <c r="G36" s="4" t="str">
        <f t="shared" si="3"/>
        <v>old order</v>
      </c>
      <c r="H36" s="4">
        <v>9.333438882E9</v>
      </c>
      <c r="I36" s="4" t="s">
        <v>60</v>
      </c>
      <c r="J36" s="4">
        <v>3180.0</v>
      </c>
      <c r="K36" s="4" t="s">
        <v>61</v>
      </c>
      <c r="L36" s="4" t="s">
        <v>38</v>
      </c>
      <c r="M36" s="4" t="s">
        <v>22</v>
      </c>
      <c r="N36" s="4" t="s">
        <v>55</v>
      </c>
      <c r="O36" s="4" t="str">
        <f>IF('Table1 (2)'!$J36&lt;=4000,"small order","large order")</f>
        <v>small order</v>
      </c>
      <c r="P36" s="4" t="str">
        <f>IF('Table1 (2)'!$N36="completed","revenue realized","awaiting completion")</f>
        <v>awaiting completion</v>
      </c>
    </row>
    <row r="37" ht="14.25" customHeight="1">
      <c r="A37" s="3">
        <v>136.0</v>
      </c>
      <c r="B37" s="4" t="s">
        <v>45</v>
      </c>
      <c r="C37" s="5">
        <v>46095.0</v>
      </c>
      <c r="D37" s="4" t="str">
        <f t="shared" si="1"/>
        <v>weekend</v>
      </c>
      <c r="E37" s="4">
        <f t="shared" si="2"/>
        <v>28538</v>
      </c>
      <c r="F37" s="6">
        <v>46101.0</v>
      </c>
      <c r="G37" s="4" t="str">
        <f t="shared" si="3"/>
        <v>recent order</v>
      </c>
      <c r="H37" s="4">
        <v>9.46069653E9</v>
      </c>
      <c r="I37" s="4" t="s">
        <v>46</v>
      </c>
      <c r="J37" s="4">
        <v>1284.0</v>
      </c>
      <c r="K37" s="4" t="s">
        <v>29</v>
      </c>
      <c r="L37" s="4" t="s">
        <v>21</v>
      </c>
      <c r="M37" s="4" t="s">
        <v>30</v>
      </c>
      <c r="N37" s="4" t="s">
        <v>31</v>
      </c>
      <c r="O37" s="4" t="str">
        <f>IF('Table1 (2)'!$J37&lt;=4000,"small order","large order")</f>
        <v>small order</v>
      </c>
      <c r="P37" s="4" t="str">
        <f>IF('Table1 (2)'!$N37="completed","revenue realized","awaiting completion")</f>
        <v>awaiting completion</v>
      </c>
    </row>
    <row r="38" ht="14.25" customHeight="1">
      <c r="A38" s="3">
        <v>137.0</v>
      </c>
      <c r="B38" s="4" t="s">
        <v>58</v>
      </c>
      <c r="C38" s="5">
        <v>46092.0</v>
      </c>
      <c r="D38" s="4" t="str">
        <f t="shared" si="1"/>
        <v>weekday</v>
      </c>
      <c r="E38" s="4">
        <f t="shared" si="2"/>
        <v>27254</v>
      </c>
      <c r="F38" s="6">
        <v>46101.0</v>
      </c>
      <c r="G38" s="4" t="str">
        <f t="shared" si="3"/>
        <v>old order</v>
      </c>
      <c r="H38" s="4">
        <v>9.872943352E9</v>
      </c>
      <c r="I38" s="4" t="s">
        <v>60</v>
      </c>
      <c r="J38" s="4">
        <v>4441.0</v>
      </c>
      <c r="K38" s="4" t="s">
        <v>40</v>
      </c>
      <c r="L38" s="4" t="s">
        <v>38</v>
      </c>
      <c r="M38" s="4" t="s">
        <v>30</v>
      </c>
      <c r="N38" s="4" t="s">
        <v>23</v>
      </c>
      <c r="O38" s="4" t="str">
        <f>IF('Table1 (2)'!$J38&lt;=4000,"small order","large order")</f>
        <v>large order</v>
      </c>
      <c r="P38" s="4" t="str">
        <f>IF('Table1 (2)'!$N38="completed","revenue realized","awaiting completion")</f>
        <v>revenue realized</v>
      </c>
    </row>
    <row r="39" ht="14.25" customHeight="1">
      <c r="A39" s="3">
        <v>138.0</v>
      </c>
      <c r="B39" s="4" t="s">
        <v>49</v>
      </c>
      <c r="C39" s="5">
        <v>46095.0</v>
      </c>
      <c r="D39" s="4" t="str">
        <f t="shared" si="1"/>
        <v>weekend</v>
      </c>
      <c r="E39" s="4">
        <f t="shared" si="2"/>
        <v>25588</v>
      </c>
      <c r="F39" s="6">
        <v>46101.0</v>
      </c>
      <c r="G39" s="4" t="str">
        <f t="shared" si="3"/>
        <v>recent order</v>
      </c>
      <c r="H39" s="4">
        <v>9.859265079E9</v>
      </c>
      <c r="I39" s="4" t="s">
        <v>64</v>
      </c>
      <c r="J39" s="4">
        <v>3970.0</v>
      </c>
      <c r="K39" s="4" t="s">
        <v>29</v>
      </c>
      <c r="L39" s="4" t="s">
        <v>21</v>
      </c>
      <c r="M39" s="4" t="s">
        <v>34</v>
      </c>
      <c r="N39" s="4" t="s">
        <v>31</v>
      </c>
      <c r="O39" s="4" t="str">
        <f>IF('Table1 (2)'!$J39&lt;=4000,"small order","large order")</f>
        <v>small order</v>
      </c>
      <c r="P39" s="4" t="str">
        <f>IF('Table1 (2)'!$N39="completed","revenue realized","awaiting completion")</f>
        <v>awaiting completion</v>
      </c>
    </row>
    <row r="40" ht="14.25" customHeight="1">
      <c r="A40" s="3">
        <v>139.0</v>
      </c>
      <c r="B40" s="4" t="s">
        <v>35</v>
      </c>
      <c r="C40" s="5">
        <v>46095.0</v>
      </c>
      <c r="D40" s="4" t="str">
        <f t="shared" si="1"/>
        <v>weekend</v>
      </c>
      <c r="E40" s="4">
        <f t="shared" si="2"/>
        <v>14424</v>
      </c>
      <c r="F40" s="6">
        <v>46101.0</v>
      </c>
      <c r="G40" s="4" t="str">
        <f t="shared" si="3"/>
        <v>recent order</v>
      </c>
      <c r="H40" s="4">
        <v>9.263915681E9</v>
      </c>
      <c r="I40" s="4" t="s">
        <v>48</v>
      </c>
      <c r="J40" s="4">
        <v>3073.0</v>
      </c>
      <c r="K40" s="4" t="s">
        <v>61</v>
      </c>
      <c r="L40" s="4" t="s">
        <v>21</v>
      </c>
      <c r="M40" s="4" t="s">
        <v>7</v>
      </c>
      <c r="N40" s="4" t="s">
        <v>23</v>
      </c>
      <c r="O40" s="4" t="str">
        <f>IF('Table1 (2)'!$J40&lt;=4000,"small order","large order")</f>
        <v>small order</v>
      </c>
      <c r="P40" s="4" t="str">
        <f>IF('Table1 (2)'!$N40="completed","revenue realized","awaiting completion")</f>
        <v>revenue realized</v>
      </c>
    </row>
    <row r="41" ht="14.25" customHeight="1">
      <c r="A41" s="3">
        <v>140.0</v>
      </c>
      <c r="B41" s="4" t="s">
        <v>56</v>
      </c>
      <c r="C41" s="5">
        <v>46097.0</v>
      </c>
      <c r="D41" s="4" t="str">
        <f t="shared" si="1"/>
        <v>weekday</v>
      </c>
      <c r="E41" s="4">
        <f t="shared" si="2"/>
        <v>20211</v>
      </c>
      <c r="F41" s="6">
        <v>46101.0</v>
      </c>
      <c r="G41" s="4" t="str">
        <f t="shared" si="3"/>
        <v>recent order</v>
      </c>
      <c r="H41" s="4">
        <v>9.156822905E9</v>
      </c>
      <c r="I41" s="4" t="s">
        <v>65</v>
      </c>
      <c r="J41" s="4">
        <v>4641.0</v>
      </c>
      <c r="K41" s="4" t="s">
        <v>47</v>
      </c>
      <c r="L41" s="4" t="s">
        <v>38</v>
      </c>
      <c r="M41" s="4" t="s">
        <v>7</v>
      </c>
      <c r="N41" s="4" t="s">
        <v>55</v>
      </c>
      <c r="O41" s="4" t="str">
        <f>IF('Table1 (2)'!$J41&lt;=4000,"small order","large order")</f>
        <v>large order</v>
      </c>
      <c r="P41" s="4" t="str">
        <f>IF('Table1 (2)'!$N41="completed","revenue realized","awaiting completion")</f>
        <v>awaiting completion</v>
      </c>
    </row>
    <row r="42" ht="14.25" customHeight="1">
      <c r="A42" s="3">
        <v>141.0</v>
      </c>
      <c r="B42" s="4" t="s">
        <v>56</v>
      </c>
      <c r="C42" s="5">
        <v>46089.0</v>
      </c>
      <c r="D42" s="4" t="str">
        <f t="shared" si="1"/>
        <v>weekday</v>
      </c>
      <c r="E42" s="4">
        <f t="shared" si="2"/>
        <v>26586</v>
      </c>
      <c r="F42" s="6">
        <v>46101.0</v>
      </c>
      <c r="G42" s="4" t="str">
        <f t="shared" si="3"/>
        <v>old order</v>
      </c>
      <c r="H42" s="4">
        <v>9.891611996E9</v>
      </c>
      <c r="I42" s="4" t="s">
        <v>66</v>
      </c>
      <c r="J42" s="4">
        <v>5876.0</v>
      </c>
      <c r="K42" s="4" t="s">
        <v>37</v>
      </c>
      <c r="L42" s="4" t="s">
        <v>21</v>
      </c>
      <c r="M42" s="4" t="s">
        <v>22</v>
      </c>
      <c r="N42" s="4" t="s">
        <v>31</v>
      </c>
      <c r="O42" s="4" t="str">
        <f>IF('Table1 (2)'!$J42&lt;=4000,"small order","large order")</f>
        <v>large order</v>
      </c>
      <c r="P42" s="4" t="str">
        <f>IF('Table1 (2)'!$N42="completed","revenue realized","awaiting completion")</f>
        <v>awaiting completion</v>
      </c>
    </row>
    <row r="43" ht="14.25" customHeight="1">
      <c r="A43" s="3">
        <v>142.0</v>
      </c>
      <c r="B43" s="4" t="s">
        <v>35</v>
      </c>
      <c r="C43" s="5">
        <v>46095.0</v>
      </c>
      <c r="D43" s="4" t="str">
        <f t="shared" si="1"/>
        <v>weekend</v>
      </c>
      <c r="E43" s="4">
        <f t="shared" si="2"/>
        <v>21734</v>
      </c>
      <c r="F43" s="6">
        <v>46101.0</v>
      </c>
      <c r="G43" s="4" t="str">
        <f t="shared" si="3"/>
        <v>recent order</v>
      </c>
      <c r="H43" s="4">
        <v>9.012677101E9</v>
      </c>
      <c r="I43" s="4" t="s">
        <v>48</v>
      </c>
      <c r="J43" s="4">
        <v>1628.0</v>
      </c>
      <c r="K43" s="4" t="s">
        <v>20</v>
      </c>
      <c r="L43" s="4" t="s">
        <v>38</v>
      </c>
      <c r="M43" s="4" t="s">
        <v>22</v>
      </c>
      <c r="N43" s="4" t="s">
        <v>23</v>
      </c>
      <c r="O43" s="4" t="str">
        <f>IF('Table1 (2)'!$J43&lt;=4000,"small order","large order")</f>
        <v>small order</v>
      </c>
      <c r="P43" s="4" t="str">
        <f>IF('Table1 (2)'!$N43="completed","revenue realized","awaiting completion")</f>
        <v>revenue realized</v>
      </c>
    </row>
    <row r="44" ht="14.25" customHeight="1">
      <c r="A44" s="3">
        <v>143.0</v>
      </c>
      <c r="B44" s="4" t="s">
        <v>45</v>
      </c>
      <c r="C44" s="5">
        <v>46092.0</v>
      </c>
      <c r="D44" s="4" t="str">
        <f t="shared" si="1"/>
        <v>weekday</v>
      </c>
      <c r="E44" s="4">
        <f t="shared" si="2"/>
        <v>26586</v>
      </c>
      <c r="F44" s="6">
        <v>46101.0</v>
      </c>
      <c r="G44" s="4" t="str">
        <f t="shared" si="3"/>
        <v>old order</v>
      </c>
      <c r="H44" s="4">
        <v>9.225284756E9</v>
      </c>
      <c r="I44" s="4" t="s">
        <v>46</v>
      </c>
      <c r="J44" s="4">
        <v>1698.0</v>
      </c>
      <c r="K44" s="4" t="s">
        <v>47</v>
      </c>
      <c r="L44" s="4" t="s">
        <v>38</v>
      </c>
      <c r="M44" s="4" t="s">
        <v>34</v>
      </c>
      <c r="N44" s="4" t="s">
        <v>23</v>
      </c>
      <c r="O44" s="4" t="str">
        <f>IF('Table1 (2)'!$J44&lt;=4000,"small order","large order")</f>
        <v>small order</v>
      </c>
      <c r="P44" s="4" t="str">
        <f>IF('Table1 (2)'!$N44="completed","revenue realized","awaiting completion")</f>
        <v>revenue realized</v>
      </c>
    </row>
    <row r="45" ht="14.25" customHeight="1">
      <c r="A45" s="3">
        <v>144.0</v>
      </c>
      <c r="B45" s="4" t="s">
        <v>49</v>
      </c>
      <c r="C45" s="5">
        <v>46096.0</v>
      </c>
      <c r="D45" s="4" t="str">
        <f t="shared" si="1"/>
        <v>weekday</v>
      </c>
      <c r="E45" s="4">
        <f t="shared" si="2"/>
        <v>8548</v>
      </c>
      <c r="F45" s="6">
        <v>46101.0</v>
      </c>
      <c r="G45" s="4" t="str">
        <f t="shared" si="3"/>
        <v>recent order</v>
      </c>
      <c r="H45" s="4">
        <v>9869353.0</v>
      </c>
      <c r="I45" s="4" t="s">
        <v>64</v>
      </c>
      <c r="J45" s="4">
        <v>1112.0</v>
      </c>
      <c r="K45" s="4" t="s">
        <v>61</v>
      </c>
      <c r="L45" s="4" t="s">
        <v>38</v>
      </c>
      <c r="M45" s="4" t="s">
        <v>7</v>
      </c>
      <c r="N45" s="4" t="s">
        <v>23</v>
      </c>
      <c r="O45" s="4" t="str">
        <f>IF('Table1 (2)'!$J45&lt;=4000,"small order","large order")</f>
        <v>small order</v>
      </c>
      <c r="P45" s="4" t="str">
        <f>IF('Table1 (2)'!$N45="completed","revenue realized","awaiting completion")</f>
        <v>revenue realized</v>
      </c>
    </row>
    <row r="46" ht="14.25" customHeight="1">
      <c r="A46" s="3">
        <v>145.0</v>
      </c>
      <c r="B46" s="4" t="s">
        <v>32</v>
      </c>
      <c r="C46" s="5">
        <v>46092.0</v>
      </c>
      <c r="D46" s="4" t="str">
        <f t="shared" si="1"/>
        <v>weekday</v>
      </c>
      <c r="E46" s="4">
        <f t="shared" si="2"/>
        <v>24888</v>
      </c>
      <c r="F46" s="6">
        <v>46101.0</v>
      </c>
      <c r="G46" s="4" t="str">
        <f t="shared" si="3"/>
        <v>old order</v>
      </c>
      <c r="H46" s="4">
        <v>9805601.0</v>
      </c>
      <c r="I46" s="4" t="s">
        <v>67</v>
      </c>
      <c r="J46" s="4">
        <v>3852.0</v>
      </c>
      <c r="K46" s="4" t="s">
        <v>54</v>
      </c>
      <c r="L46" s="4" t="s">
        <v>38</v>
      </c>
      <c r="M46" s="4" t="s">
        <v>30</v>
      </c>
      <c r="N46" s="4" t="s">
        <v>23</v>
      </c>
      <c r="O46" s="4" t="str">
        <f>IF('Table1 (2)'!$J46&lt;=4000,"small order","large order")</f>
        <v>small order</v>
      </c>
      <c r="P46" s="4" t="str">
        <f>IF('Table1 (2)'!$N46="completed","revenue realized","awaiting completion")</f>
        <v>revenue realized</v>
      </c>
    </row>
    <row r="47" ht="14.25" customHeight="1">
      <c r="A47" s="3">
        <v>146.0</v>
      </c>
      <c r="B47" s="4" t="s">
        <v>56</v>
      </c>
      <c r="C47" s="5">
        <v>46089.0</v>
      </c>
      <c r="D47" s="4" t="str">
        <f t="shared" si="1"/>
        <v>weekday</v>
      </c>
      <c r="E47" s="4">
        <f t="shared" si="2"/>
        <v>20622</v>
      </c>
      <c r="F47" s="6">
        <v>46101.0</v>
      </c>
      <c r="G47" s="4" t="str">
        <f t="shared" si="3"/>
        <v>old order</v>
      </c>
      <c r="H47" s="4">
        <v>9109926.0</v>
      </c>
      <c r="I47" s="4" t="s">
        <v>57</v>
      </c>
      <c r="J47" s="4">
        <v>1207.0</v>
      </c>
      <c r="K47" s="4" t="s">
        <v>54</v>
      </c>
      <c r="L47" s="4" t="s">
        <v>38</v>
      </c>
      <c r="M47" s="4" t="s">
        <v>30</v>
      </c>
      <c r="N47" s="4" t="s">
        <v>31</v>
      </c>
      <c r="O47" s="4" t="str">
        <f>IF('Table1 (2)'!$J47&lt;=4000,"small order","large order")</f>
        <v>small order</v>
      </c>
      <c r="P47" s="4" t="str">
        <f>IF('Table1 (2)'!$N47="completed","revenue realized","awaiting completion")</f>
        <v>awaiting completion</v>
      </c>
    </row>
    <row r="48" ht="14.25" customHeight="1">
      <c r="A48" s="3">
        <v>147.0</v>
      </c>
      <c r="B48" s="4" t="s">
        <v>24</v>
      </c>
      <c r="C48" s="5">
        <v>46092.0</v>
      </c>
      <c r="D48" s="4" t="str">
        <f t="shared" si="1"/>
        <v>weekday</v>
      </c>
      <c r="E48" s="4">
        <f t="shared" si="2"/>
        <v>21036</v>
      </c>
      <c r="F48" s="6">
        <v>46101.0</v>
      </c>
      <c r="G48" s="4" t="str">
        <f t="shared" si="3"/>
        <v>old order</v>
      </c>
      <c r="H48" s="4">
        <v>9438339.0</v>
      </c>
      <c r="I48" s="4" t="s">
        <v>39</v>
      </c>
      <c r="J48" s="4">
        <v>4880.0</v>
      </c>
      <c r="K48" s="4" t="s">
        <v>37</v>
      </c>
      <c r="L48" s="4" t="s">
        <v>21</v>
      </c>
      <c r="M48" s="4" t="s">
        <v>22</v>
      </c>
      <c r="N48" s="4" t="s">
        <v>31</v>
      </c>
      <c r="O48" s="4" t="str">
        <f>IF('Table1 (2)'!$J48&lt;=4000,"small order","large order")</f>
        <v>large order</v>
      </c>
      <c r="P48" s="4" t="str">
        <f>IF('Table1 (2)'!$N48="completed","revenue realized","awaiting completion")</f>
        <v>awaiting completion</v>
      </c>
    </row>
    <row r="49" ht="14.25" customHeight="1">
      <c r="A49" s="3">
        <v>148.0</v>
      </c>
      <c r="B49" s="4" t="s">
        <v>18</v>
      </c>
      <c r="C49" s="5">
        <v>46096.0</v>
      </c>
      <c r="D49" s="4" t="str">
        <f t="shared" si="1"/>
        <v>weekday</v>
      </c>
      <c r="E49" s="4">
        <f t="shared" si="2"/>
        <v>18583</v>
      </c>
      <c r="F49" s="6">
        <v>46101.0</v>
      </c>
      <c r="G49" s="4" t="str">
        <f t="shared" si="3"/>
        <v>recent order</v>
      </c>
      <c r="H49" s="4">
        <v>9.524842042E9</v>
      </c>
      <c r="I49" s="4" t="s">
        <v>63</v>
      </c>
      <c r="J49" s="4">
        <v>1528.0</v>
      </c>
      <c r="K49" s="4" t="s">
        <v>42</v>
      </c>
      <c r="L49" s="4" t="s">
        <v>38</v>
      </c>
      <c r="M49" s="4" t="s">
        <v>34</v>
      </c>
      <c r="N49" s="4" t="s">
        <v>31</v>
      </c>
      <c r="O49" s="4" t="str">
        <f>IF('Table1 (2)'!$J49&lt;=4000,"small order","large order")</f>
        <v>small order</v>
      </c>
      <c r="P49" s="4" t="str">
        <f>IF('Table1 (2)'!$N49="completed","revenue realized","awaiting completion")</f>
        <v>awaiting completion</v>
      </c>
    </row>
    <row r="50" ht="14.25" customHeight="1">
      <c r="A50" s="3">
        <v>149.0</v>
      </c>
      <c r="B50" s="4" t="s">
        <v>18</v>
      </c>
      <c r="C50" s="5">
        <v>46092.0</v>
      </c>
      <c r="D50" s="4" t="str">
        <f t="shared" si="1"/>
        <v>weekday</v>
      </c>
      <c r="E50" s="4">
        <f t="shared" si="2"/>
        <v>18583</v>
      </c>
      <c r="F50" s="6">
        <v>46101.0</v>
      </c>
      <c r="G50" s="4" t="str">
        <f t="shared" si="3"/>
        <v>old order</v>
      </c>
      <c r="H50" s="4">
        <v>9.03145191E8</v>
      </c>
      <c r="I50" s="4" t="s">
        <v>19</v>
      </c>
      <c r="J50" s="4">
        <v>5787.0</v>
      </c>
      <c r="K50" s="4" t="s">
        <v>47</v>
      </c>
      <c r="L50" s="4" t="s">
        <v>21</v>
      </c>
      <c r="M50" s="4" t="s">
        <v>7</v>
      </c>
      <c r="N50" s="4" t="s">
        <v>55</v>
      </c>
      <c r="O50" s="4" t="str">
        <f>IF('Table1 (2)'!$J50&lt;=4000,"small order","large order")</f>
        <v>large order</v>
      </c>
      <c r="P50" s="4" t="str">
        <f>IF('Table1 (2)'!$N50="completed","revenue realized","awaiting completion")</f>
        <v>awaiting completion</v>
      </c>
    </row>
    <row r="51" ht="14.25" customHeight="1">
      <c r="A51" s="3">
        <v>150.0</v>
      </c>
      <c r="B51" s="4" t="s">
        <v>35</v>
      </c>
      <c r="C51" s="5">
        <v>46095.0</v>
      </c>
      <c r="D51" s="4" t="str">
        <f t="shared" si="1"/>
        <v>weekend</v>
      </c>
      <c r="E51" s="4">
        <f t="shared" si="2"/>
        <v>17838</v>
      </c>
      <c r="F51" s="6">
        <v>46101.0</v>
      </c>
      <c r="G51" s="4" t="str">
        <f t="shared" si="3"/>
        <v>recent order</v>
      </c>
      <c r="H51" s="4">
        <v>9.506620655E9</v>
      </c>
      <c r="I51" s="4" t="s">
        <v>36</v>
      </c>
      <c r="J51" s="4">
        <v>3569.0</v>
      </c>
      <c r="K51" s="4" t="s">
        <v>47</v>
      </c>
      <c r="L51" s="4" t="s">
        <v>21</v>
      </c>
      <c r="M51" s="4" t="s">
        <v>34</v>
      </c>
      <c r="N51" s="4" t="s">
        <v>23</v>
      </c>
      <c r="O51" s="4" t="str">
        <f>IF('Table1 (2)'!$J51&lt;=4000,"small order","large order")</f>
        <v>small order</v>
      </c>
      <c r="P51" s="4" t="str">
        <f>IF('Table1 (2)'!$N51="completed","revenue realized","awaiting completion")</f>
        <v>revenue realized</v>
      </c>
    </row>
    <row r="52" ht="14.25" customHeight="1">
      <c r="A52" s="3">
        <v>151.0</v>
      </c>
      <c r="B52" s="4" t="s">
        <v>32</v>
      </c>
      <c r="C52" s="5">
        <v>46095.0</v>
      </c>
      <c r="D52" s="4" t="str">
        <f t="shared" si="1"/>
        <v>weekend</v>
      </c>
      <c r="E52" s="4">
        <f t="shared" si="2"/>
        <v>10369</v>
      </c>
      <c r="F52" s="6">
        <v>46101.0</v>
      </c>
      <c r="G52" s="4" t="str">
        <f t="shared" si="3"/>
        <v>recent order</v>
      </c>
      <c r="H52" s="4">
        <v>9386610.0</v>
      </c>
      <c r="I52" s="4" t="s">
        <v>68</v>
      </c>
      <c r="J52" s="4">
        <v>3625.0</v>
      </c>
      <c r="K52" s="4" t="s">
        <v>29</v>
      </c>
      <c r="L52" s="4" t="s">
        <v>38</v>
      </c>
      <c r="M52" s="4" t="s">
        <v>7</v>
      </c>
      <c r="N52" s="4" t="s">
        <v>31</v>
      </c>
      <c r="O52" s="4" t="str">
        <f>IF('Table1 (2)'!$J52&lt;=4000,"small order","large order")</f>
        <v>small order</v>
      </c>
      <c r="P52" s="4" t="str">
        <f>IF('Table1 (2)'!$N52="completed","revenue realized","awaiting completion")</f>
        <v>awaiting completion</v>
      </c>
    </row>
    <row r="53" ht="14.25" customHeight="1">
      <c r="A53" s="3">
        <v>152.0</v>
      </c>
      <c r="B53" s="4" t="s">
        <v>18</v>
      </c>
      <c r="C53" s="5">
        <v>46094.0</v>
      </c>
      <c r="D53" s="4" t="str">
        <f t="shared" si="1"/>
        <v>weekend</v>
      </c>
      <c r="E53" s="4">
        <f t="shared" si="2"/>
        <v>27467</v>
      </c>
      <c r="F53" s="6">
        <v>46101.0</v>
      </c>
      <c r="G53" s="4" t="str">
        <f t="shared" si="3"/>
        <v>recent order</v>
      </c>
      <c r="H53" s="4">
        <v>9.890682062E9</v>
      </c>
      <c r="I53" s="4" t="s">
        <v>19</v>
      </c>
      <c r="J53" s="4">
        <v>3493.0</v>
      </c>
      <c r="K53" s="4" t="s">
        <v>20</v>
      </c>
      <c r="L53" s="4" t="s">
        <v>38</v>
      </c>
      <c r="M53" s="4" t="s">
        <v>7</v>
      </c>
      <c r="N53" s="4" t="s">
        <v>23</v>
      </c>
      <c r="O53" s="4" t="str">
        <f>IF('Table1 (2)'!$J53&lt;=4000,"small order","large order")</f>
        <v>small order</v>
      </c>
      <c r="P53" s="4" t="str">
        <f>IF('Table1 (2)'!$N53="completed","revenue realized","awaiting completion")</f>
        <v>revenue realized</v>
      </c>
    </row>
    <row r="54" ht="14.25" customHeight="1">
      <c r="A54" s="3">
        <v>153.0</v>
      </c>
      <c r="B54" s="4" t="s">
        <v>32</v>
      </c>
      <c r="C54" s="5">
        <v>46092.0</v>
      </c>
      <c r="D54" s="4" t="str">
        <f t="shared" si="1"/>
        <v>weekday</v>
      </c>
      <c r="E54" s="4">
        <f t="shared" si="2"/>
        <v>10369</v>
      </c>
      <c r="F54" s="6">
        <v>46101.0</v>
      </c>
      <c r="G54" s="4" t="str">
        <f t="shared" si="3"/>
        <v>old order</v>
      </c>
      <c r="H54" s="4">
        <v>9.389815662E9</v>
      </c>
      <c r="I54" s="4" t="s">
        <v>33</v>
      </c>
      <c r="J54" s="4">
        <v>4040.0</v>
      </c>
      <c r="K54" s="4" t="s">
        <v>51</v>
      </c>
      <c r="L54" s="4" t="s">
        <v>21</v>
      </c>
      <c r="M54" s="4" t="s">
        <v>7</v>
      </c>
      <c r="N54" s="4" t="s">
        <v>55</v>
      </c>
      <c r="O54" s="4" t="str">
        <f>IF('Table1 (2)'!$J54&lt;=4000,"small order","large order")</f>
        <v>large order</v>
      </c>
      <c r="P54" s="4" t="str">
        <f>IF('Table1 (2)'!$N54="completed","revenue realized","awaiting completion")</f>
        <v>awaiting completion</v>
      </c>
    </row>
    <row r="55" ht="14.25" customHeight="1">
      <c r="A55" s="3">
        <v>154.0</v>
      </c>
      <c r="B55" s="4" t="s">
        <v>32</v>
      </c>
      <c r="C55" s="5">
        <v>46091.0</v>
      </c>
      <c r="D55" s="4" t="str">
        <f t="shared" si="1"/>
        <v>weekday</v>
      </c>
      <c r="E55" s="4">
        <f t="shared" si="2"/>
        <v>18691</v>
      </c>
      <c r="F55" s="6">
        <v>46101.0</v>
      </c>
      <c r="G55" s="4" t="str">
        <f t="shared" si="3"/>
        <v>old order</v>
      </c>
      <c r="H55" s="4">
        <v>9.26713823E9</v>
      </c>
      <c r="I55" s="4" t="s">
        <v>67</v>
      </c>
      <c r="J55" s="4">
        <v>3859.0</v>
      </c>
      <c r="K55" s="4" t="s">
        <v>26</v>
      </c>
      <c r="L55" s="4" t="s">
        <v>38</v>
      </c>
      <c r="M55" s="4" t="s">
        <v>22</v>
      </c>
      <c r="N55" s="4" t="s">
        <v>23</v>
      </c>
      <c r="O55" s="4" t="str">
        <f>IF('Table1 (2)'!$J55&lt;=4000,"small order","large order")</f>
        <v>small order</v>
      </c>
      <c r="P55" s="4" t="str">
        <f>IF('Table1 (2)'!$N55="completed","revenue realized","awaiting completion")</f>
        <v>revenue realized</v>
      </c>
    </row>
    <row r="56" ht="14.25" customHeight="1">
      <c r="A56" s="3">
        <v>155.0</v>
      </c>
      <c r="B56" s="4" t="s">
        <v>52</v>
      </c>
      <c r="C56" s="5">
        <v>46092.0</v>
      </c>
      <c r="D56" s="4" t="str">
        <f t="shared" si="1"/>
        <v>weekday</v>
      </c>
      <c r="E56" s="4">
        <f t="shared" si="2"/>
        <v>14345</v>
      </c>
      <c r="F56" s="6">
        <v>46101.0</v>
      </c>
      <c r="G56" s="4" t="str">
        <f t="shared" si="3"/>
        <v>old order</v>
      </c>
      <c r="H56" s="4">
        <v>9.29144428E8</v>
      </c>
      <c r="I56" s="4" t="s">
        <v>69</v>
      </c>
      <c r="J56" s="4">
        <v>4469.0</v>
      </c>
      <c r="K56" s="4" t="s">
        <v>29</v>
      </c>
      <c r="L56" s="4" t="s">
        <v>21</v>
      </c>
      <c r="M56" s="4" t="s">
        <v>22</v>
      </c>
      <c r="N56" s="4" t="s">
        <v>31</v>
      </c>
      <c r="O56" s="4" t="str">
        <f>IF('Table1 (2)'!$J56&lt;=4000,"small order","large order")</f>
        <v>large order</v>
      </c>
      <c r="P56" s="4" t="str">
        <f>IF('Table1 (2)'!$N56="completed","revenue realized","awaiting completion")</f>
        <v>awaiting completion</v>
      </c>
    </row>
    <row r="57" ht="14.25" customHeight="1">
      <c r="A57" s="3">
        <v>156.0</v>
      </c>
      <c r="B57" s="4" t="s">
        <v>18</v>
      </c>
      <c r="C57" s="5">
        <v>46088.0</v>
      </c>
      <c r="D57" s="4" t="str">
        <f t="shared" si="1"/>
        <v>weekend</v>
      </c>
      <c r="E57" s="4">
        <f t="shared" si="2"/>
        <v>34161</v>
      </c>
      <c r="F57" s="6">
        <v>46101.0</v>
      </c>
      <c r="G57" s="4" t="str">
        <f t="shared" si="3"/>
        <v>old order</v>
      </c>
      <c r="H57" s="4">
        <v>9.154731027E9</v>
      </c>
      <c r="I57" s="4" t="s">
        <v>41</v>
      </c>
      <c r="J57" s="4">
        <v>2501.0</v>
      </c>
      <c r="K57" s="4" t="s">
        <v>42</v>
      </c>
      <c r="L57" s="4" t="s">
        <v>38</v>
      </c>
      <c r="M57" s="4" t="s">
        <v>34</v>
      </c>
      <c r="N57" s="4" t="s">
        <v>23</v>
      </c>
      <c r="O57" s="4" t="str">
        <f>IF('Table1 (2)'!$J57&lt;=4000,"small order","large order")</f>
        <v>small order</v>
      </c>
      <c r="P57" s="4" t="str">
        <f>IF('Table1 (2)'!$N57="completed","revenue realized","awaiting completion")</f>
        <v>revenue realized</v>
      </c>
    </row>
    <row r="58" ht="14.25" customHeight="1">
      <c r="A58" s="3">
        <v>157.0</v>
      </c>
      <c r="B58" s="4" t="s">
        <v>45</v>
      </c>
      <c r="C58" s="5">
        <v>46094.0</v>
      </c>
      <c r="D58" s="4" t="str">
        <f t="shared" si="1"/>
        <v>weekend</v>
      </c>
      <c r="E58" s="4">
        <f t="shared" si="2"/>
        <v>16190</v>
      </c>
      <c r="F58" s="6">
        <v>46101.0</v>
      </c>
      <c r="G58" s="4" t="str">
        <f t="shared" si="3"/>
        <v>recent order</v>
      </c>
      <c r="H58" s="4">
        <v>9153895.0</v>
      </c>
      <c r="I58" s="4" t="s">
        <v>46</v>
      </c>
      <c r="J58" s="4">
        <v>3837.0</v>
      </c>
      <c r="K58" s="4" t="s">
        <v>40</v>
      </c>
      <c r="L58" s="4" t="s">
        <v>38</v>
      </c>
      <c r="M58" s="4" t="s">
        <v>34</v>
      </c>
      <c r="N58" s="4" t="s">
        <v>23</v>
      </c>
      <c r="O58" s="4" t="str">
        <f>IF('Table1 (2)'!$J58&lt;=4000,"small order","large order")</f>
        <v>small order</v>
      </c>
      <c r="P58" s="4" t="str">
        <f>IF('Table1 (2)'!$N58="completed","revenue realized","awaiting completion")</f>
        <v>revenue realized</v>
      </c>
    </row>
    <row r="59" ht="14.25" customHeight="1">
      <c r="A59" s="3">
        <v>158.0</v>
      </c>
      <c r="B59" s="4" t="s">
        <v>24</v>
      </c>
      <c r="C59" s="5">
        <v>46090.0</v>
      </c>
      <c r="D59" s="4" t="str">
        <f t="shared" si="1"/>
        <v>weekday</v>
      </c>
      <c r="E59" s="4">
        <f t="shared" si="2"/>
        <v>7341</v>
      </c>
      <c r="F59" s="6">
        <v>46101.0</v>
      </c>
      <c r="G59" s="4" t="str">
        <f t="shared" si="3"/>
        <v>old order</v>
      </c>
      <c r="H59" s="4">
        <v>9.744320428E9</v>
      </c>
      <c r="I59" s="4" t="s">
        <v>39</v>
      </c>
      <c r="J59" s="4">
        <v>3912.0</v>
      </c>
      <c r="K59" s="4" t="s">
        <v>40</v>
      </c>
      <c r="L59" s="4" t="s">
        <v>38</v>
      </c>
      <c r="M59" s="4" t="s">
        <v>22</v>
      </c>
      <c r="N59" s="4" t="s">
        <v>31</v>
      </c>
      <c r="O59" s="4" t="str">
        <f>IF('Table1 (2)'!$J59&lt;=4000,"small order","large order")</f>
        <v>small order</v>
      </c>
      <c r="P59" s="4" t="str">
        <f>IF('Table1 (2)'!$N59="completed","revenue realized","awaiting completion")</f>
        <v>awaiting completion</v>
      </c>
    </row>
    <row r="60" ht="14.25" customHeight="1">
      <c r="A60" s="3">
        <v>159.0</v>
      </c>
      <c r="B60" s="4" t="s">
        <v>56</v>
      </c>
      <c r="C60" s="5">
        <v>46088.0</v>
      </c>
      <c r="D60" s="4" t="str">
        <f t="shared" si="1"/>
        <v>weekend</v>
      </c>
      <c r="E60" s="4">
        <f t="shared" si="2"/>
        <v>23608</v>
      </c>
      <c r="F60" s="6">
        <v>46101.0</v>
      </c>
      <c r="G60" s="4" t="str">
        <f t="shared" si="3"/>
        <v>old order</v>
      </c>
      <c r="H60" s="4">
        <v>9.15333097E9</v>
      </c>
      <c r="I60" s="4" t="s">
        <v>66</v>
      </c>
      <c r="J60" s="4">
        <v>3306.0</v>
      </c>
      <c r="K60" s="4" t="s">
        <v>51</v>
      </c>
      <c r="L60" s="4" t="s">
        <v>38</v>
      </c>
      <c r="M60" s="4" t="s">
        <v>34</v>
      </c>
      <c r="N60" s="4" t="s">
        <v>23</v>
      </c>
      <c r="O60" s="4" t="str">
        <f>IF('Table1 (2)'!$J60&lt;=4000,"small order","large order")</f>
        <v>small order</v>
      </c>
      <c r="P60" s="4" t="str">
        <f>IF('Table1 (2)'!$N60="completed","revenue realized","awaiting completion")</f>
        <v>revenue realized</v>
      </c>
    </row>
    <row r="61" ht="14.25" customHeight="1">
      <c r="A61" s="3">
        <v>160.0</v>
      </c>
      <c r="B61" s="4" t="s">
        <v>45</v>
      </c>
      <c r="C61" s="5">
        <v>46089.0</v>
      </c>
      <c r="D61" s="4" t="str">
        <f t="shared" si="1"/>
        <v>weekday</v>
      </c>
      <c r="E61" s="4">
        <f t="shared" si="2"/>
        <v>7341</v>
      </c>
      <c r="F61" s="6">
        <v>46101.0</v>
      </c>
      <c r="G61" s="4" t="str">
        <f t="shared" si="3"/>
        <v>old order</v>
      </c>
      <c r="H61" s="4">
        <v>9.532351903E9</v>
      </c>
      <c r="I61" s="4" t="s">
        <v>70</v>
      </c>
      <c r="J61" s="4">
        <v>4193.0</v>
      </c>
      <c r="K61" s="4" t="s">
        <v>20</v>
      </c>
      <c r="L61" s="4" t="s">
        <v>38</v>
      </c>
      <c r="M61" s="4" t="s">
        <v>7</v>
      </c>
      <c r="N61" s="4" t="s">
        <v>23</v>
      </c>
      <c r="O61" s="4" t="str">
        <f>IF('Table1 (2)'!$J61&lt;=4000,"small order","large order")</f>
        <v>large order</v>
      </c>
      <c r="P61" s="4" t="str">
        <f>IF('Table1 (2)'!$N61="completed","revenue realized","awaiting completion")</f>
        <v>revenue realized</v>
      </c>
    </row>
    <row r="62" ht="14.25" customHeight="1">
      <c r="A62" s="3">
        <v>161.0</v>
      </c>
      <c r="B62" s="4" t="s">
        <v>58</v>
      </c>
      <c r="C62" s="5">
        <v>46091.0</v>
      </c>
      <c r="D62" s="4" t="str">
        <f t="shared" si="1"/>
        <v>weekday</v>
      </c>
      <c r="E62" s="4">
        <f t="shared" si="2"/>
        <v>12884</v>
      </c>
      <c r="F62" s="6">
        <v>46101.0</v>
      </c>
      <c r="G62" s="4" t="str">
        <f t="shared" si="3"/>
        <v>old order</v>
      </c>
      <c r="H62" s="4">
        <v>9105888.0</v>
      </c>
      <c r="I62" s="4" t="s">
        <v>60</v>
      </c>
      <c r="J62" s="4">
        <v>2459.0</v>
      </c>
      <c r="K62" s="4" t="s">
        <v>42</v>
      </c>
      <c r="L62" s="4" t="s">
        <v>38</v>
      </c>
      <c r="M62" s="4" t="s">
        <v>22</v>
      </c>
      <c r="N62" s="4" t="s">
        <v>23</v>
      </c>
      <c r="O62" s="4" t="str">
        <f>IF('Table1 (2)'!$J62&lt;=4000,"small order","large order")</f>
        <v>small order</v>
      </c>
      <c r="P62" s="4" t="str">
        <f>IF('Table1 (2)'!$N62="completed","revenue realized","awaiting completion")</f>
        <v>revenue realized</v>
      </c>
    </row>
    <row r="63" ht="14.25" customHeight="1">
      <c r="A63" s="3">
        <v>162.0</v>
      </c>
      <c r="B63" s="4" t="s">
        <v>49</v>
      </c>
      <c r="C63" s="5">
        <v>46089.0</v>
      </c>
      <c r="D63" s="4" t="str">
        <f t="shared" si="1"/>
        <v>weekday</v>
      </c>
      <c r="E63" s="4">
        <f t="shared" si="2"/>
        <v>30249</v>
      </c>
      <c r="F63" s="6">
        <v>46101.0</v>
      </c>
      <c r="G63" s="4" t="str">
        <f t="shared" si="3"/>
        <v>old order</v>
      </c>
      <c r="H63" s="4">
        <v>9.515621272E9</v>
      </c>
      <c r="I63" s="4" t="s">
        <v>50</v>
      </c>
      <c r="J63" s="4">
        <v>3148.0</v>
      </c>
      <c r="K63" s="4" t="s">
        <v>61</v>
      </c>
      <c r="L63" s="4" t="s">
        <v>21</v>
      </c>
      <c r="M63" s="4" t="s">
        <v>7</v>
      </c>
      <c r="N63" s="4" t="s">
        <v>55</v>
      </c>
      <c r="O63" s="4" t="str">
        <f>IF('Table1 (2)'!$J63&lt;=4000,"small order","large order")</f>
        <v>small order</v>
      </c>
      <c r="P63" s="4" t="str">
        <f>IF('Table1 (2)'!$N63="completed","revenue realized","awaiting completion")</f>
        <v>awaiting completion</v>
      </c>
    </row>
    <row r="64" ht="14.25" customHeight="1">
      <c r="A64" s="3">
        <v>163.0</v>
      </c>
      <c r="B64" s="4" t="s">
        <v>32</v>
      </c>
      <c r="C64" s="5">
        <v>46088.0</v>
      </c>
      <c r="D64" s="4" t="str">
        <f t="shared" si="1"/>
        <v>weekend</v>
      </c>
      <c r="E64" s="4">
        <f t="shared" si="2"/>
        <v>20947</v>
      </c>
      <c r="F64" s="6">
        <v>46101.0</v>
      </c>
      <c r="G64" s="4" t="str">
        <f t="shared" si="3"/>
        <v>old order</v>
      </c>
      <c r="H64" s="4">
        <v>9.812166804E9</v>
      </c>
      <c r="I64" s="4" t="s">
        <v>33</v>
      </c>
      <c r="J64" s="4">
        <v>4108.0</v>
      </c>
      <c r="K64" s="4" t="s">
        <v>61</v>
      </c>
      <c r="L64" s="4" t="s">
        <v>21</v>
      </c>
      <c r="M64" s="4" t="s">
        <v>34</v>
      </c>
      <c r="N64" s="4" t="s">
        <v>23</v>
      </c>
      <c r="O64" s="4" t="str">
        <f>IF('Table1 (2)'!$J64&lt;=4000,"small order","large order")</f>
        <v>large order</v>
      </c>
      <c r="P64" s="4" t="str">
        <f>IF('Table1 (2)'!$N64="completed","revenue realized","awaiting completion")</f>
        <v>revenue realized</v>
      </c>
    </row>
    <row r="65" ht="14.25" customHeight="1">
      <c r="A65" s="3">
        <v>164.0</v>
      </c>
      <c r="B65" s="4" t="s">
        <v>58</v>
      </c>
      <c r="C65" s="5">
        <v>46090.0</v>
      </c>
      <c r="D65" s="4" t="str">
        <f t="shared" si="1"/>
        <v>weekday</v>
      </c>
      <c r="E65" s="4">
        <f t="shared" si="2"/>
        <v>11389</v>
      </c>
      <c r="F65" s="6">
        <v>46101.0</v>
      </c>
      <c r="G65" s="4" t="str">
        <f t="shared" si="3"/>
        <v>old order</v>
      </c>
      <c r="H65" s="4">
        <v>9.64112476E9</v>
      </c>
      <c r="I65" s="4" t="s">
        <v>60</v>
      </c>
      <c r="J65" s="4">
        <v>4939.0</v>
      </c>
      <c r="K65" s="4" t="s">
        <v>51</v>
      </c>
      <c r="L65" s="4" t="s">
        <v>21</v>
      </c>
      <c r="M65" s="4" t="s">
        <v>7</v>
      </c>
      <c r="N65" s="4" t="s">
        <v>23</v>
      </c>
      <c r="O65" s="4" t="str">
        <f>IF('Table1 (2)'!$J65&lt;=4000,"small order","large order")</f>
        <v>large order</v>
      </c>
      <c r="P65" s="4" t="str">
        <f>IF('Table1 (2)'!$N65="completed","revenue realized","awaiting completion")</f>
        <v>revenue realized</v>
      </c>
    </row>
    <row r="66" ht="14.25" customHeight="1">
      <c r="A66" s="3">
        <v>165.0</v>
      </c>
      <c r="B66" s="4" t="s">
        <v>27</v>
      </c>
      <c r="C66" s="5">
        <v>46097.0</v>
      </c>
      <c r="D66" s="4" t="str">
        <f t="shared" si="1"/>
        <v>weekday</v>
      </c>
      <c r="E66" s="4">
        <f t="shared" si="2"/>
        <v>19094</v>
      </c>
      <c r="F66" s="6">
        <v>46101.0</v>
      </c>
      <c r="G66" s="4" t="str">
        <f t="shared" si="3"/>
        <v>recent order</v>
      </c>
      <c r="H66" s="4">
        <v>9.91849737E8</v>
      </c>
      <c r="I66" s="4" t="s">
        <v>28</v>
      </c>
      <c r="J66" s="4">
        <v>2240.0</v>
      </c>
      <c r="K66" s="4" t="s">
        <v>26</v>
      </c>
      <c r="L66" s="4" t="s">
        <v>21</v>
      </c>
      <c r="M66" s="4" t="s">
        <v>22</v>
      </c>
      <c r="N66" s="4" t="s">
        <v>31</v>
      </c>
      <c r="O66" s="4" t="str">
        <f>IF('Table1 (2)'!$J66&lt;=4000,"small order","large order")</f>
        <v>small order</v>
      </c>
      <c r="P66" s="4" t="str">
        <f>IF('Table1 (2)'!$N66="completed","revenue realized","awaiting completion")</f>
        <v>awaiting completion</v>
      </c>
    </row>
    <row r="67" ht="14.25" customHeight="1">
      <c r="A67" s="3">
        <v>166.0</v>
      </c>
      <c r="B67" s="4" t="s">
        <v>45</v>
      </c>
      <c r="C67" s="5">
        <v>46095.0</v>
      </c>
      <c r="D67" s="4" t="str">
        <f t="shared" si="1"/>
        <v>weekend</v>
      </c>
      <c r="E67" s="4">
        <f t="shared" si="2"/>
        <v>25310</v>
      </c>
      <c r="F67" s="6">
        <v>46101.0</v>
      </c>
      <c r="G67" s="4" t="str">
        <f t="shared" si="3"/>
        <v>recent order</v>
      </c>
      <c r="H67" s="4">
        <v>9.754213224E9</v>
      </c>
      <c r="I67" s="4" t="s">
        <v>70</v>
      </c>
      <c r="J67" s="4">
        <v>4033.0</v>
      </c>
      <c r="K67" s="4" t="s">
        <v>20</v>
      </c>
      <c r="L67" s="4" t="s">
        <v>21</v>
      </c>
      <c r="M67" s="4" t="s">
        <v>34</v>
      </c>
      <c r="N67" s="4" t="s">
        <v>31</v>
      </c>
      <c r="O67" s="4" t="str">
        <f>IF('Table1 (2)'!$J67&lt;=4000,"small order","large order")</f>
        <v>large order</v>
      </c>
      <c r="P67" s="4" t="str">
        <f>IF('Table1 (2)'!$N67="completed","revenue realized","awaiting completion")</f>
        <v>awaiting completion</v>
      </c>
    </row>
    <row r="68" ht="14.25" customHeight="1">
      <c r="A68" s="3">
        <v>167.0</v>
      </c>
      <c r="B68" s="4" t="s">
        <v>45</v>
      </c>
      <c r="C68" s="5">
        <v>46096.0</v>
      </c>
      <c r="D68" s="4" t="str">
        <f t="shared" si="1"/>
        <v>weekday</v>
      </c>
      <c r="E68" s="4">
        <f t="shared" si="2"/>
        <v>21149</v>
      </c>
      <c r="F68" s="6">
        <v>46101.0</v>
      </c>
      <c r="G68" s="4" t="str">
        <f t="shared" si="3"/>
        <v>recent order</v>
      </c>
      <c r="H68" s="4">
        <v>9.839108465E9</v>
      </c>
      <c r="I68" s="4" t="s">
        <v>71</v>
      </c>
      <c r="J68" s="4">
        <v>4553.0</v>
      </c>
      <c r="K68" s="4" t="s">
        <v>51</v>
      </c>
      <c r="L68" s="4" t="s">
        <v>21</v>
      </c>
      <c r="M68" s="4" t="s">
        <v>7</v>
      </c>
      <c r="N68" s="4" t="s">
        <v>23</v>
      </c>
      <c r="O68" s="4" t="str">
        <f>IF('Table1 (2)'!$J68&lt;=4000,"small order","large order")</f>
        <v>large order</v>
      </c>
      <c r="P68" s="4" t="str">
        <f>IF('Table1 (2)'!$N68="completed","revenue realized","awaiting completion")</f>
        <v>revenue realized</v>
      </c>
    </row>
    <row r="69" ht="14.25" customHeight="1">
      <c r="A69" s="3">
        <v>168.0</v>
      </c>
      <c r="B69" s="4" t="s">
        <v>18</v>
      </c>
      <c r="C69" s="5">
        <v>46090.0</v>
      </c>
      <c r="D69" s="4" t="str">
        <f t="shared" si="1"/>
        <v>weekday</v>
      </c>
      <c r="E69" s="4">
        <f t="shared" si="2"/>
        <v>10508</v>
      </c>
      <c r="F69" s="6">
        <v>46101.0</v>
      </c>
      <c r="G69" s="4" t="str">
        <f t="shared" si="3"/>
        <v>old order</v>
      </c>
      <c r="H69" s="4">
        <v>9.85902257E8</v>
      </c>
      <c r="I69" s="4" t="s">
        <v>41</v>
      </c>
      <c r="J69" s="4">
        <v>3490.0</v>
      </c>
      <c r="K69" s="4" t="s">
        <v>37</v>
      </c>
      <c r="L69" s="4" t="s">
        <v>21</v>
      </c>
      <c r="M69" s="4" t="s">
        <v>22</v>
      </c>
      <c r="N69" s="4" t="s">
        <v>31</v>
      </c>
      <c r="O69" s="4" t="str">
        <f>IF('Table1 (2)'!$J69&lt;=4000,"small order","large order")</f>
        <v>small order</v>
      </c>
      <c r="P69" s="4" t="str">
        <f>IF('Table1 (2)'!$N69="completed","revenue realized","awaiting completion")</f>
        <v>awaiting completion</v>
      </c>
    </row>
    <row r="70" ht="14.25" customHeight="1">
      <c r="A70" s="3">
        <v>169.0</v>
      </c>
      <c r="B70" s="4" t="s">
        <v>24</v>
      </c>
      <c r="C70" s="5">
        <v>46091.0</v>
      </c>
      <c r="D70" s="4" t="str">
        <f t="shared" si="1"/>
        <v>weekday</v>
      </c>
      <c r="E70" s="4">
        <f t="shared" si="2"/>
        <v>21149</v>
      </c>
      <c r="F70" s="6">
        <v>46101.0</v>
      </c>
      <c r="G70" s="4" t="str">
        <f t="shared" si="3"/>
        <v>old order</v>
      </c>
      <c r="H70" s="4">
        <v>9.2335579E8</v>
      </c>
      <c r="I70" s="4" t="s">
        <v>25</v>
      </c>
      <c r="J70" s="4">
        <v>2519.0</v>
      </c>
      <c r="K70" s="4" t="s">
        <v>29</v>
      </c>
      <c r="L70" s="4" t="s">
        <v>21</v>
      </c>
      <c r="M70" s="4" t="s">
        <v>34</v>
      </c>
      <c r="N70" s="4" t="s">
        <v>31</v>
      </c>
      <c r="O70" s="4" t="str">
        <f>IF('Table1 (2)'!$J70&lt;=4000,"small order","large order")</f>
        <v>small order</v>
      </c>
      <c r="P70" s="4" t="str">
        <f>IF('Table1 (2)'!$N70="completed","revenue realized","awaiting completion")</f>
        <v>awaiting completion</v>
      </c>
    </row>
    <row r="71" ht="14.25" customHeight="1">
      <c r="A71" s="3">
        <v>170.0</v>
      </c>
      <c r="B71" s="4" t="s">
        <v>56</v>
      </c>
      <c r="C71" s="5">
        <v>46094.0</v>
      </c>
      <c r="D71" s="4" t="str">
        <f t="shared" si="1"/>
        <v>weekend</v>
      </c>
      <c r="E71" s="4">
        <f t="shared" si="2"/>
        <v>18630</v>
      </c>
      <c r="F71" s="6">
        <v>46101.0</v>
      </c>
      <c r="G71" s="4" t="str">
        <f t="shared" si="3"/>
        <v>recent order</v>
      </c>
      <c r="H71" s="4">
        <v>9070710.0</v>
      </c>
      <c r="I71" s="4" t="s">
        <v>57</v>
      </c>
      <c r="J71" s="4">
        <v>3604.0</v>
      </c>
      <c r="K71" s="4" t="s">
        <v>26</v>
      </c>
      <c r="L71" s="4" t="s">
        <v>38</v>
      </c>
      <c r="M71" s="4" t="s">
        <v>34</v>
      </c>
      <c r="N71" s="4" t="s">
        <v>55</v>
      </c>
      <c r="O71" s="4" t="str">
        <f>IF('Table1 (2)'!$J71&lt;=4000,"small order","large order")</f>
        <v>small order</v>
      </c>
      <c r="P71" s="4" t="str">
        <f>IF('Table1 (2)'!$N71="completed","revenue realized","awaiting completion")</f>
        <v>awaiting completion</v>
      </c>
    </row>
    <row r="72" ht="14.25" customHeight="1">
      <c r="A72" s="3">
        <v>171.0</v>
      </c>
      <c r="B72" s="4" t="s">
        <v>45</v>
      </c>
      <c r="C72" s="5">
        <v>46091.0</v>
      </c>
      <c r="D72" s="4" t="str">
        <f t="shared" si="1"/>
        <v>weekday</v>
      </c>
      <c r="E72" s="4">
        <f t="shared" si="2"/>
        <v>18707</v>
      </c>
      <c r="F72" s="6">
        <v>46101.0</v>
      </c>
      <c r="G72" s="4" t="str">
        <f t="shared" si="3"/>
        <v>old order</v>
      </c>
      <c r="H72" s="4">
        <v>9.278752212E9</v>
      </c>
      <c r="I72" s="4" t="s">
        <v>46</v>
      </c>
      <c r="J72" s="4">
        <v>4843.0</v>
      </c>
      <c r="K72" s="4" t="s">
        <v>54</v>
      </c>
      <c r="L72" s="4" t="s">
        <v>38</v>
      </c>
      <c r="M72" s="4" t="s">
        <v>22</v>
      </c>
      <c r="N72" s="4" t="s">
        <v>23</v>
      </c>
      <c r="O72" s="4" t="str">
        <f>IF('Table1 (2)'!$J72&lt;=4000,"small order","large order")</f>
        <v>large order</v>
      </c>
      <c r="P72" s="4" t="str">
        <f>IF('Table1 (2)'!$N72="completed","revenue realized","awaiting completion")</f>
        <v>revenue realized</v>
      </c>
    </row>
    <row r="73" ht="14.25" customHeight="1">
      <c r="A73" s="3">
        <v>172.0</v>
      </c>
      <c r="B73" s="4" t="s">
        <v>45</v>
      </c>
      <c r="C73" s="5">
        <v>46091.0</v>
      </c>
      <c r="D73" s="4" t="str">
        <f t="shared" si="1"/>
        <v>weekday</v>
      </c>
      <c r="E73" s="4">
        <f t="shared" si="2"/>
        <v>21820</v>
      </c>
      <c r="F73" s="6">
        <v>46101.0</v>
      </c>
      <c r="G73" s="4" t="str">
        <f t="shared" si="3"/>
        <v>old order</v>
      </c>
      <c r="H73" s="4">
        <v>9.394997205E9</v>
      </c>
      <c r="I73" s="4" t="s">
        <v>46</v>
      </c>
      <c r="J73" s="4">
        <v>4338.0</v>
      </c>
      <c r="K73" s="4" t="s">
        <v>29</v>
      </c>
      <c r="L73" s="4" t="s">
        <v>38</v>
      </c>
      <c r="M73" s="4" t="s">
        <v>30</v>
      </c>
      <c r="N73" s="4" t="s">
        <v>23</v>
      </c>
      <c r="O73" s="4" t="str">
        <f>IF('Table1 (2)'!$J73&lt;=4000,"small order","large order")</f>
        <v>large order</v>
      </c>
      <c r="P73" s="4" t="str">
        <f>IF('Table1 (2)'!$N73="completed","revenue realized","awaiting completion")</f>
        <v>revenue realized</v>
      </c>
    </row>
    <row r="74" ht="14.25" customHeight="1">
      <c r="A74" s="3">
        <v>173.0</v>
      </c>
      <c r="B74" s="4" t="s">
        <v>35</v>
      </c>
      <c r="C74" s="5">
        <v>46097.0</v>
      </c>
      <c r="D74" s="4" t="str">
        <f t="shared" si="1"/>
        <v>weekday</v>
      </c>
      <c r="E74" s="4">
        <f t="shared" si="2"/>
        <v>9449</v>
      </c>
      <c r="F74" s="6">
        <v>46101.0</v>
      </c>
      <c r="G74" s="4" t="str">
        <f t="shared" si="3"/>
        <v>recent order</v>
      </c>
      <c r="H74" s="4">
        <v>9.085162705E9</v>
      </c>
      <c r="I74" s="4" t="s">
        <v>48</v>
      </c>
      <c r="J74" s="4">
        <v>1068.0</v>
      </c>
      <c r="K74" s="4" t="s">
        <v>54</v>
      </c>
      <c r="L74" s="4" t="s">
        <v>21</v>
      </c>
      <c r="M74" s="4" t="s">
        <v>22</v>
      </c>
      <c r="N74" s="4" t="s">
        <v>55</v>
      </c>
      <c r="O74" s="4" t="str">
        <f>IF('Table1 (2)'!$J74&lt;=4000,"small order","large order")</f>
        <v>small order</v>
      </c>
      <c r="P74" s="4" t="str">
        <f>IF('Table1 (2)'!$N74="completed","revenue realized","awaiting completion")</f>
        <v>awaiting completion</v>
      </c>
    </row>
    <row r="75" ht="14.25" customHeight="1">
      <c r="A75" s="3">
        <v>174.0</v>
      </c>
      <c r="B75" s="4" t="s">
        <v>45</v>
      </c>
      <c r="C75" s="5">
        <v>46090.0</v>
      </c>
      <c r="D75" s="4" t="str">
        <f t="shared" si="1"/>
        <v>weekday</v>
      </c>
      <c r="E75" s="4">
        <f t="shared" si="2"/>
        <v>6904</v>
      </c>
      <c r="F75" s="6">
        <v>46101.0</v>
      </c>
      <c r="G75" s="4" t="str">
        <f t="shared" si="3"/>
        <v>old order</v>
      </c>
      <c r="H75" s="4">
        <v>9.28555047E8</v>
      </c>
      <c r="I75" s="4" t="s">
        <v>46</v>
      </c>
      <c r="J75" s="4">
        <v>3191.0</v>
      </c>
      <c r="K75" s="4" t="s">
        <v>26</v>
      </c>
      <c r="L75" s="4" t="s">
        <v>38</v>
      </c>
      <c r="M75" s="4" t="s">
        <v>7</v>
      </c>
      <c r="N75" s="4" t="s">
        <v>23</v>
      </c>
      <c r="O75" s="4" t="str">
        <f>IF('Table1 (2)'!$J75&lt;=4000,"small order","large order")</f>
        <v>small order</v>
      </c>
      <c r="P75" s="4" t="str">
        <f>IF('Table1 (2)'!$N75="completed","revenue realized","awaiting completion")</f>
        <v>revenue realized</v>
      </c>
    </row>
    <row r="76" ht="14.25" customHeight="1">
      <c r="A76" s="3">
        <v>175.0</v>
      </c>
      <c r="B76" s="4" t="s">
        <v>32</v>
      </c>
      <c r="C76" s="5">
        <v>46091.0</v>
      </c>
      <c r="D76" s="4" t="str">
        <f t="shared" si="1"/>
        <v>weekday</v>
      </c>
      <c r="E76" s="4">
        <f t="shared" si="2"/>
        <v>8776</v>
      </c>
      <c r="F76" s="6">
        <v>46101.0</v>
      </c>
      <c r="G76" s="4" t="str">
        <f t="shared" si="3"/>
        <v>old order</v>
      </c>
      <c r="H76" s="4">
        <v>9.97871767E8</v>
      </c>
      <c r="I76" s="4" t="s">
        <v>68</v>
      </c>
      <c r="J76" s="4">
        <v>4110.0</v>
      </c>
      <c r="K76" s="4" t="s">
        <v>42</v>
      </c>
      <c r="L76" s="4" t="s">
        <v>21</v>
      </c>
      <c r="M76" s="4" t="s">
        <v>30</v>
      </c>
      <c r="N76" s="4" t="s">
        <v>31</v>
      </c>
      <c r="O76" s="4" t="str">
        <f>IF('Table1 (2)'!$J76&lt;=4000,"small order","large order")</f>
        <v>large order</v>
      </c>
      <c r="P76" s="4" t="str">
        <f>IF('Table1 (2)'!$N76="completed","revenue realized","awaiting completion")</f>
        <v>awaiting completion</v>
      </c>
    </row>
    <row r="77" ht="14.25" customHeight="1">
      <c r="A77" s="3">
        <v>176.0</v>
      </c>
      <c r="B77" s="4" t="s">
        <v>45</v>
      </c>
      <c r="C77" s="5">
        <v>46094.0</v>
      </c>
      <c r="D77" s="4" t="str">
        <f t="shared" si="1"/>
        <v>weekend</v>
      </c>
      <c r="E77" s="4">
        <f t="shared" si="2"/>
        <v>17639</v>
      </c>
      <c r="F77" s="6">
        <v>46101.0</v>
      </c>
      <c r="G77" s="4" t="str">
        <f t="shared" si="3"/>
        <v>recent order</v>
      </c>
      <c r="H77" s="4">
        <v>9.70581993E8</v>
      </c>
      <c r="I77" s="4" t="s">
        <v>71</v>
      </c>
      <c r="J77" s="4">
        <v>3853.0</v>
      </c>
      <c r="K77" s="4" t="s">
        <v>26</v>
      </c>
      <c r="L77" s="4" t="s">
        <v>38</v>
      </c>
      <c r="M77" s="4" t="s">
        <v>30</v>
      </c>
      <c r="N77" s="4" t="s">
        <v>23</v>
      </c>
      <c r="O77" s="4" t="str">
        <f>IF('Table1 (2)'!$J77&lt;=4000,"small order","large order")</f>
        <v>small order</v>
      </c>
      <c r="P77" s="4" t="str">
        <f>IF('Table1 (2)'!$N77="completed","revenue realized","awaiting completion")</f>
        <v>revenue realized</v>
      </c>
    </row>
    <row r="78" ht="14.25" customHeight="1">
      <c r="A78" s="3">
        <v>177.0</v>
      </c>
      <c r="B78" s="4" t="s">
        <v>35</v>
      </c>
      <c r="C78" s="5">
        <v>46088.0</v>
      </c>
      <c r="D78" s="4" t="str">
        <f t="shared" si="1"/>
        <v>weekend</v>
      </c>
      <c r="E78" s="4">
        <f t="shared" si="2"/>
        <v>18629</v>
      </c>
      <c r="F78" s="6">
        <v>46101.0</v>
      </c>
      <c r="G78" s="4" t="str">
        <f t="shared" si="3"/>
        <v>old order</v>
      </c>
      <c r="H78" s="4">
        <v>9.219428529E9</v>
      </c>
      <c r="I78" s="4" t="s">
        <v>36</v>
      </c>
      <c r="J78" s="4">
        <v>2190.0</v>
      </c>
      <c r="K78" s="4" t="s">
        <v>42</v>
      </c>
      <c r="L78" s="4" t="s">
        <v>38</v>
      </c>
      <c r="M78" s="4" t="s">
        <v>7</v>
      </c>
      <c r="N78" s="4" t="s">
        <v>23</v>
      </c>
      <c r="O78" s="4" t="str">
        <f>IF('Table1 (2)'!$J78&lt;=4000,"small order","large order")</f>
        <v>small order</v>
      </c>
      <c r="P78" s="4" t="str">
        <f>IF('Table1 (2)'!$N78="completed","revenue realized","awaiting completion")</f>
        <v>revenue realized</v>
      </c>
    </row>
    <row r="79" ht="14.25" customHeight="1">
      <c r="A79" s="3">
        <v>178.0</v>
      </c>
      <c r="B79" s="4" t="s">
        <v>18</v>
      </c>
      <c r="C79" s="5">
        <v>46097.0</v>
      </c>
      <c r="D79" s="4" t="str">
        <f t="shared" si="1"/>
        <v>weekday</v>
      </c>
      <c r="E79" s="4">
        <f t="shared" si="2"/>
        <v>14541</v>
      </c>
      <c r="F79" s="6">
        <v>46101.0</v>
      </c>
      <c r="G79" s="4" t="str">
        <f t="shared" si="3"/>
        <v>recent order</v>
      </c>
      <c r="H79" s="4">
        <v>9.013776718E9</v>
      </c>
      <c r="I79" s="4" t="s">
        <v>41</v>
      </c>
      <c r="J79" s="4">
        <v>2099.0</v>
      </c>
      <c r="K79" s="4" t="s">
        <v>61</v>
      </c>
      <c r="L79" s="4" t="s">
        <v>38</v>
      </c>
      <c r="M79" s="4" t="s">
        <v>7</v>
      </c>
      <c r="N79" s="4" t="s">
        <v>55</v>
      </c>
      <c r="O79" s="4" t="str">
        <f>IF('Table1 (2)'!$J79&lt;=4000,"small order","large order")</f>
        <v>small order</v>
      </c>
      <c r="P79" s="4" t="str">
        <f>IF('Table1 (2)'!$N79="completed","revenue realized","awaiting completion")</f>
        <v>awaiting completion</v>
      </c>
    </row>
    <row r="80" ht="14.25" customHeight="1">
      <c r="A80" s="3">
        <v>179.0</v>
      </c>
      <c r="B80" s="4" t="s">
        <v>58</v>
      </c>
      <c r="C80" s="5">
        <v>46090.0</v>
      </c>
      <c r="D80" s="4" t="str">
        <f t="shared" si="1"/>
        <v>weekday</v>
      </c>
      <c r="E80" s="4">
        <f t="shared" si="2"/>
        <v>18629</v>
      </c>
      <c r="F80" s="6">
        <v>46101.0</v>
      </c>
      <c r="G80" s="4" t="str">
        <f t="shared" si="3"/>
        <v>old order</v>
      </c>
      <c r="H80" s="4">
        <v>9.0318969E8</v>
      </c>
      <c r="I80" s="4" t="s">
        <v>60</v>
      </c>
      <c r="J80" s="4">
        <v>2129.0</v>
      </c>
      <c r="K80" s="4" t="s">
        <v>40</v>
      </c>
      <c r="L80" s="4" t="s">
        <v>38</v>
      </c>
      <c r="M80" s="4" t="s">
        <v>7</v>
      </c>
      <c r="N80" s="4" t="s">
        <v>55</v>
      </c>
      <c r="O80" s="4" t="str">
        <f>IF('Table1 (2)'!$J80&lt;=4000,"small order","large order")</f>
        <v>small order</v>
      </c>
      <c r="P80" s="4" t="str">
        <f>IF('Table1 (2)'!$N80="completed","revenue realized","awaiting completion")</f>
        <v>awaiting completion</v>
      </c>
    </row>
    <row r="81" ht="14.25" customHeight="1">
      <c r="A81" s="3">
        <v>180.0</v>
      </c>
      <c r="B81" s="4" t="s">
        <v>56</v>
      </c>
      <c r="C81" s="5">
        <v>46096.0</v>
      </c>
      <c r="D81" s="4" t="str">
        <f t="shared" si="1"/>
        <v>weekday</v>
      </c>
      <c r="E81" s="4">
        <f t="shared" si="2"/>
        <v>15540</v>
      </c>
      <c r="F81" s="6">
        <v>46101.0</v>
      </c>
      <c r="G81" s="4" t="str">
        <f t="shared" si="3"/>
        <v>recent order</v>
      </c>
      <c r="H81" s="4">
        <v>9.127419556E9</v>
      </c>
      <c r="I81" s="4" t="s">
        <v>65</v>
      </c>
      <c r="J81" s="4">
        <v>1650.0</v>
      </c>
      <c r="K81" s="4" t="s">
        <v>51</v>
      </c>
      <c r="L81" s="4" t="s">
        <v>21</v>
      </c>
      <c r="M81" s="4" t="s">
        <v>22</v>
      </c>
      <c r="N81" s="4" t="s">
        <v>31</v>
      </c>
      <c r="O81" s="4" t="str">
        <f>IF('Table1 (2)'!$J81&lt;=4000,"small order","large order")</f>
        <v>small order</v>
      </c>
      <c r="P81" s="4" t="str">
        <f>IF('Table1 (2)'!$N81="completed","revenue realized","awaiting completion")</f>
        <v>awaiting completion</v>
      </c>
    </row>
    <row r="82" ht="14.25" customHeight="1">
      <c r="A82" s="3">
        <v>181.0</v>
      </c>
      <c r="B82" s="4" t="s">
        <v>45</v>
      </c>
      <c r="C82" s="5">
        <v>46090.0</v>
      </c>
      <c r="D82" s="4" t="str">
        <f t="shared" si="1"/>
        <v>weekday</v>
      </c>
      <c r="E82" s="4">
        <f t="shared" si="2"/>
        <v>6586</v>
      </c>
      <c r="F82" s="6">
        <v>46101.0</v>
      </c>
      <c r="G82" s="4" t="str">
        <f t="shared" si="3"/>
        <v>old order</v>
      </c>
      <c r="H82" s="4">
        <v>9.296213171E9</v>
      </c>
      <c r="I82" s="4" t="s">
        <v>46</v>
      </c>
      <c r="J82" s="4">
        <v>5634.0</v>
      </c>
      <c r="K82" s="4" t="s">
        <v>42</v>
      </c>
      <c r="L82" s="4" t="s">
        <v>38</v>
      </c>
      <c r="M82" s="4" t="s">
        <v>22</v>
      </c>
      <c r="N82" s="4" t="s">
        <v>31</v>
      </c>
      <c r="O82" s="4" t="str">
        <f>IF('Table1 (2)'!$J82&lt;=4000,"small order","large order")</f>
        <v>large order</v>
      </c>
      <c r="P82" s="4" t="str">
        <f>IF('Table1 (2)'!$N82="completed","revenue realized","awaiting completion")</f>
        <v>awaiting completion</v>
      </c>
    </row>
    <row r="83" ht="14.25" customHeight="1">
      <c r="A83" s="3">
        <v>182.0</v>
      </c>
      <c r="B83" s="4" t="s">
        <v>32</v>
      </c>
      <c r="C83" s="5">
        <v>46097.0</v>
      </c>
      <c r="D83" s="4" t="str">
        <f t="shared" si="1"/>
        <v>weekday</v>
      </c>
      <c r="E83" s="4">
        <f t="shared" si="2"/>
        <v>15540</v>
      </c>
      <c r="F83" s="6">
        <v>46101.0</v>
      </c>
      <c r="G83" s="4" t="str">
        <f t="shared" si="3"/>
        <v>recent order</v>
      </c>
      <c r="H83" s="4">
        <v>9.343320973E9</v>
      </c>
      <c r="I83" s="4" t="s">
        <v>68</v>
      </c>
      <c r="J83" s="4">
        <v>1863.0</v>
      </c>
      <c r="K83" s="4" t="s">
        <v>47</v>
      </c>
      <c r="L83" s="4" t="s">
        <v>21</v>
      </c>
      <c r="M83" s="4" t="s">
        <v>30</v>
      </c>
      <c r="N83" s="4" t="s">
        <v>23</v>
      </c>
      <c r="O83" s="4" t="str">
        <f>IF('Table1 (2)'!$J83&lt;=4000,"small order","large order")</f>
        <v>small order</v>
      </c>
      <c r="P83" s="4" t="str">
        <f>IF('Table1 (2)'!$N83="completed","revenue realized","awaiting completion")</f>
        <v>revenue realized</v>
      </c>
    </row>
    <row r="84" ht="14.25" customHeight="1">
      <c r="A84" s="3">
        <v>183.0</v>
      </c>
      <c r="B84" s="4" t="s">
        <v>49</v>
      </c>
      <c r="C84" s="5">
        <v>46088.0</v>
      </c>
      <c r="D84" s="4" t="str">
        <f t="shared" si="1"/>
        <v>weekend</v>
      </c>
      <c r="E84" s="4">
        <f t="shared" si="2"/>
        <v>7356</v>
      </c>
      <c r="F84" s="6">
        <v>46101.0</v>
      </c>
      <c r="G84" s="4" t="str">
        <f t="shared" si="3"/>
        <v>old order</v>
      </c>
      <c r="H84" s="4">
        <v>9.096913093E9</v>
      </c>
      <c r="I84" s="4" t="s">
        <v>62</v>
      </c>
      <c r="J84" s="4">
        <v>3216.0</v>
      </c>
      <c r="K84" s="4" t="s">
        <v>54</v>
      </c>
      <c r="L84" s="4" t="s">
        <v>38</v>
      </c>
      <c r="M84" s="4" t="s">
        <v>22</v>
      </c>
      <c r="N84" s="4" t="s">
        <v>31</v>
      </c>
      <c r="O84" s="4" t="str">
        <f>IF('Table1 (2)'!$J84&lt;=4000,"small order","large order")</f>
        <v>small order</v>
      </c>
      <c r="P84" s="4" t="str">
        <f>IF('Table1 (2)'!$N84="completed","revenue realized","awaiting completion")</f>
        <v>awaiting completion</v>
      </c>
    </row>
    <row r="85" ht="14.25" customHeight="1">
      <c r="A85" s="3">
        <v>184.0</v>
      </c>
      <c r="B85" s="4" t="s">
        <v>49</v>
      </c>
      <c r="C85" s="5">
        <v>46097.0</v>
      </c>
      <c r="D85" s="4" t="str">
        <f t="shared" si="1"/>
        <v>weekday</v>
      </c>
      <c r="E85" s="4">
        <f t="shared" si="2"/>
        <v>3370</v>
      </c>
      <c r="F85" s="6">
        <v>46101.0</v>
      </c>
      <c r="G85" s="4" t="str">
        <f t="shared" si="3"/>
        <v>recent order</v>
      </c>
      <c r="H85" s="4">
        <v>9.373790314E9</v>
      </c>
      <c r="I85" s="4" t="s">
        <v>62</v>
      </c>
      <c r="J85" s="4">
        <v>3960.0</v>
      </c>
      <c r="K85" s="4" t="s">
        <v>47</v>
      </c>
      <c r="L85" s="4" t="s">
        <v>38</v>
      </c>
      <c r="M85" s="4" t="s">
        <v>30</v>
      </c>
      <c r="N85" s="4" t="s">
        <v>31</v>
      </c>
      <c r="O85" s="4" t="str">
        <f>IF('Table1 (2)'!$J85&lt;=4000,"small order","large order")</f>
        <v>small order</v>
      </c>
      <c r="P85" s="4" t="str">
        <f>IF('Table1 (2)'!$N85="completed","revenue realized","awaiting completion")</f>
        <v>awaiting completion</v>
      </c>
    </row>
    <row r="86" ht="14.25" customHeight="1">
      <c r="A86" s="3">
        <v>185.0</v>
      </c>
      <c r="B86" s="4" t="s">
        <v>27</v>
      </c>
      <c r="C86" s="5">
        <v>46095.0</v>
      </c>
      <c r="D86" s="4" t="str">
        <f t="shared" si="1"/>
        <v>weekend</v>
      </c>
      <c r="E86" s="4">
        <f t="shared" si="2"/>
        <v>7356</v>
      </c>
      <c r="F86" s="6">
        <v>46101.0</v>
      </c>
      <c r="G86" s="4" t="str">
        <f t="shared" si="3"/>
        <v>recent order</v>
      </c>
      <c r="H86" s="4">
        <v>9.18824249E8</v>
      </c>
      <c r="I86" s="4" t="s">
        <v>28</v>
      </c>
      <c r="J86" s="4">
        <v>1939.0</v>
      </c>
      <c r="K86" s="4" t="s">
        <v>61</v>
      </c>
      <c r="L86" s="4" t="s">
        <v>38</v>
      </c>
      <c r="M86" s="4" t="s">
        <v>30</v>
      </c>
      <c r="N86" s="4" t="s">
        <v>55</v>
      </c>
      <c r="O86" s="4" t="str">
        <f>IF('Table1 (2)'!$J86&lt;=4000,"small order","large order")</f>
        <v>small order</v>
      </c>
      <c r="P86" s="4" t="str">
        <f>IF('Table1 (2)'!$N86="completed","revenue realized","awaiting completion")</f>
        <v>awaiting completion</v>
      </c>
    </row>
    <row r="87" ht="14.25" customHeight="1">
      <c r="A87" s="3">
        <v>186.0</v>
      </c>
      <c r="B87" s="4" t="s">
        <v>24</v>
      </c>
      <c r="C87" s="5">
        <v>46088.0</v>
      </c>
      <c r="D87" s="4" t="str">
        <f t="shared" si="1"/>
        <v>weekend</v>
      </c>
      <c r="E87" s="4">
        <f t="shared" si="2"/>
        <v>10866</v>
      </c>
      <c r="F87" s="6">
        <v>46101.0</v>
      </c>
      <c r="G87" s="4" t="str">
        <f t="shared" si="3"/>
        <v>old order</v>
      </c>
      <c r="H87" s="4">
        <v>9561515.0</v>
      </c>
      <c r="I87" s="4" t="s">
        <v>39</v>
      </c>
      <c r="J87" s="4">
        <v>3370.0</v>
      </c>
      <c r="K87" s="4" t="s">
        <v>29</v>
      </c>
      <c r="L87" s="4" t="s">
        <v>21</v>
      </c>
      <c r="M87" s="4" t="s">
        <v>7</v>
      </c>
      <c r="N87" s="4" t="s">
        <v>23</v>
      </c>
      <c r="O87" s="4" t="str">
        <f>IF('Table1 (2)'!$J87&lt;=4000,"small order","large order")</f>
        <v>small order</v>
      </c>
      <c r="P87" s="4" t="str">
        <f>IF('Table1 (2)'!$N87="completed","revenue realized","awaiting completion")</f>
        <v>revenue realized</v>
      </c>
    </row>
    <row r="88" ht="14.25" customHeight="1">
      <c r="A88" s="3">
        <v>187.0</v>
      </c>
      <c r="B88" s="4" t="s">
        <v>32</v>
      </c>
      <c r="C88" s="5">
        <v>46095.0</v>
      </c>
      <c r="D88" s="4" t="str">
        <f t="shared" si="1"/>
        <v>weekend</v>
      </c>
      <c r="E88" s="4">
        <f t="shared" si="2"/>
        <v>12891</v>
      </c>
      <c r="F88" s="6">
        <v>46101.0</v>
      </c>
      <c r="G88" s="4" t="str">
        <f t="shared" si="3"/>
        <v>recent order</v>
      </c>
      <c r="H88" s="4">
        <v>9.801579006E9</v>
      </c>
      <c r="I88" s="4" t="s">
        <v>67</v>
      </c>
      <c r="J88" s="4">
        <v>4399.0</v>
      </c>
      <c r="K88" s="4" t="s">
        <v>40</v>
      </c>
      <c r="L88" s="4" t="s">
        <v>38</v>
      </c>
      <c r="M88" s="4" t="s">
        <v>30</v>
      </c>
      <c r="N88" s="4" t="s">
        <v>55</v>
      </c>
      <c r="O88" s="4" t="str">
        <f>IF('Table1 (2)'!$J88&lt;=4000,"small order","large order")</f>
        <v>large order</v>
      </c>
      <c r="P88" s="4" t="str">
        <f>IF('Table1 (2)'!$N88="completed","revenue realized","awaiting completion")</f>
        <v>awaiting completion</v>
      </c>
    </row>
    <row r="89" ht="14.25" customHeight="1">
      <c r="A89" s="3">
        <v>188.0</v>
      </c>
      <c r="B89" s="4" t="s">
        <v>18</v>
      </c>
      <c r="C89" s="5">
        <v>46090.0</v>
      </c>
      <c r="D89" s="4" t="str">
        <f t="shared" si="1"/>
        <v>weekday</v>
      </c>
      <c r="E89" s="4">
        <f t="shared" si="2"/>
        <v>9717</v>
      </c>
      <c r="F89" s="6">
        <v>46101.0</v>
      </c>
      <c r="G89" s="4" t="str">
        <f t="shared" si="3"/>
        <v>old order</v>
      </c>
      <c r="H89" s="4">
        <v>9.453963843E9</v>
      </c>
      <c r="I89" s="4" t="s">
        <v>63</v>
      </c>
      <c r="J89" s="4">
        <v>4600.0</v>
      </c>
      <c r="K89" s="4" t="s">
        <v>26</v>
      </c>
      <c r="L89" s="4" t="s">
        <v>21</v>
      </c>
      <c r="M89" s="4" t="s">
        <v>7</v>
      </c>
      <c r="N89" s="4" t="s">
        <v>31</v>
      </c>
      <c r="O89" s="4" t="str">
        <f>IF('Table1 (2)'!$J89&lt;=4000,"small order","large order")</f>
        <v>large order</v>
      </c>
      <c r="P89" s="4" t="str">
        <f>IF('Table1 (2)'!$N89="completed","revenue realized","awaiting completion")</f>
        <v>awaiting completion</v>
      </c>
    </row>
    <row r="90" ht="14.25" customHeight="1">
      <c r="A90" s="3">
        <v>189.0</v>
      </c>
      <c r="B90" s="4" t="s">
        <v>45</v>
      </c>
      <c r="C90" s="5">
        <v>46096.0</v>
      </c>
      <c r="D90" s="4" t="str">
        <f t="shared" si="1"/>
        <v>weekday</v>
      </c>
      <c r="E90" s="4">
        <f t="shared" si="2"/>
        <v>1860</v>
      </c>
      <c r="F90" s="6">
        <v>46101.0</v>
      </c>
      <c r="G90" s="4" t="str">
        <f t="shared" si="3"/>
        <v>recent order</v>
      </c>
      <c r="H90" s="4">
        <v>9.29086689E8</v>
      </c>
      <c r="I90" s="4" t="s">
        <v>70</v>
      </c>
      <c r="J90" s="4">
        <v>3724.0</v>
      </c>
      <c r="K90" s="4" t="s">
        <v>51</v>
      </c>
      <c r="L90" s="4" t="s">
        <v>38</v>
      </c>
      <c r="M90" s="4" t="s">
        <v>22</v>
      </c>
      <c r="N90" s="4" t="s">
        <v>23</v>
      </c>
      <c r="O90" s="4" t="str">
        <f>IF('Table1 (2)'!$J90&lt;=4000,"small order","large order")</f>
        <v>small order</v>
      </c>
      <c r="P90" s="4" t="str">
        <f>IF('Table1 (2)'!$N90="completed","revenue realized","awaiting completion")</f>
        <v>revenue realized</v>
      </c>
    </row>
    <row r="91" ht="14.25" customHeight="1">
      <c r="A91" s="3">
        <v>190.0</v>
      </c>
      <c r="B91" s="4" t="s">
        <v>32</v>
      </c>
      <c r="C91" s="5">
        <v>46097.0</v>
      </c>
      <c r="D91" s="4" t="str">
        <f t="shared" si="1"/>
        <v>weekday</v>
      </c>
      <c r="E91" s="4">
        <f t="shared" si="2"/>
        <v>9167</v>
      </c>
      <c r="F91" s="6">
        <v>46101.0</v>
      </c>
      <c r="G91" s="4" t="str">
        <f t="shared" si="3"/>
        <v>recent order</v>
      </c>
      <c r="H91" s="4">
        <v>9.494960671E9</v>
      </c>
      <c r="I91" s="4" t="s">
        <v>67</v>
      </c>
      <c r="J91" s="4">
        <v>4964.0</v>
      </c>
      <c r="K91" s="4" t="s">
        <v>51</v>
      </c>
      <c r="L91" s="4" t="s">
        <v>21</v>
      </c>
      <c r="M91" s="4" t="s">
        <v>7</v>
      </c>
      <c r="N91" s="4" t="s">
        <v>31</v>
      </c>
      <c r="O91" s="4" t="str">
        <f>IF('Table1 (2)'!$J91&lt;=4000,"small order","large order")</f>
        <v>large order</v>
      </c>
      <c r="P91" s="4" t="str">
        <f>IF('Table1 (2)'!$N91="completed","revenue realized","awaiting completion")</f>
        <v>awaiting completion</v>
      </c>
    </row>
    <row r="92" ht="14.25" customHeight="1">
      <c r="A92" s="3">
        <v>191.0</v>
      </c>
      <c r="B92" s="4" t="s">
        <v>27</v>
      </c>
      <c r="C92" s="5">
        <v>46092.0</v>
      </c>
      <c r="D92" s="4" t="str">
        <f t="shared" si="1"/>
        <v>weekday</v>
      </c>
      <c r="E92" s="4">
        <f t="shared" si="2"/>
        <v>6266</v>
      </c>
      <c r="F92" s="6">
        <v>46101.0</v>
      </c>
      <c r="G92" s="4" t="str">
        <f t="shared" si="3"/>
        <v>old order</v>
      </c>
      <c r="H92" s="4">
        <v>9194067.0</v>
      </c>
      <c r="I92" s="4" t="s">
        <v>43</v>
      </c>
      <c r="J92" s="4">
        <v>1860.0</v>
      </c>
      <c r="K92" s="4" t="s">
        <v>51</v>
      </c>
      <c r="L92" s="4" t="s">
        <v>21</v>
      </c>
      <c r="M92" s="4" t="s">
        <v>34</v>
      </c>
      <c r="N92" s="4" t="s">
        <v>23</v>
      </c>
      <c r="O92" s="4" t="str">
        <f>IF('Table1 (2)'!$J92&lt;=4000,"small order","large order")</f>
        <v>small order</v>
      </c>
      <c r="P92" s="4" t="str">
        <f>IF('Table1 (2)'!$N92="completed","revenue realized","awaiting completion")</f>
        <v>revenue realized</v>
      </c>
    </row>
    <row r="93" ht="14.25" customHeight="1">
      <c r="A93" s="3">
        <v>192.0</v>
      </c>
      <c r="B93" s="4" t="s">
        <v>18</v>
      </c>
      <c r="C93" s="5">
        <v>46096.0</v>
      </c>
      <c r="D93" s="4" t="str">
        <f t="shared" si="1"/>
        <v>weekday</v>
      </c>
      <c r="E93" s="4">
        <f t="shared" si="2"/>
        <v>6266</v>
      </c>
      <c r="F93" s="6">
        <v>46101.0</v>
      </c>
      <c r="G93" s="4" t="str">
        <f t="shared" si="3"/>
        <v>recent order</v>
      </c>
      <c r="H93" s="4">
        <v>9.168078316E9</v>
      </c>
      <c r="I93" s="4" t="s">
        <v>63</v>
      </c>
      <c r="J93" s="4">
        <v>4297.0</v>
      </c>
      <c r="K93" s="4" t="s">
        <v>37</v>
      </c>
      <c r="L93" s="4" t="s">
        <v>38</v>
      </c>
      <c r="M93" s="4" t="s">
        <v>34</v>
      </c>
      <c r="N93" s="4" t="s">
        <v>55</v>
      </c>
      <c r="O93" s="4" t="str">
        <f>IF('Table1 (2)'!$J93&lt;=4000,"small order","large order")</f>
        <v>large order</v>
      </c>
      <c r="P93" s="4" t="str">
        <f>IF('Table1 (2)'!$N93="completed","revenue realized","awaiting completion")</f>
        <v>awaiting completion</v>
      </c>
    </row>
    <row r="94" ht="14.25" customHeight="1">
      <c r="A94" s="3">
        <v>193.0</v>
      </c>
      <c r="B94" s="4" t="s">
        <v>45</v>
      </c>
      <c r="C94" s="5">
        <v>46090.0</v>
      </c>
      <c r="D94" s="4" t="str">
        <f t="shared" si="1"/>
        <v>weekday</v>
      </c>
      <c r="E94" s="4">
        <f t="shared" si="2"/>
        <v>4870</v>
      </c>
      <c r="F94" s="6">
        <v>46101.0</v>
      </c>
      <c r="G94" s="4" t="str">
        <f t="shared" si="3"/>
        <v>old order</v>
      </c>
      <c r="H94" s="4">
        <v>9.941979625E9</v>
      </c>
      <c r="I94" s="4" t="s">
        <v>71</v>
      </c>
      <c r="J94" s="4">
        <v>3333.0</v>
      </c>
      <c r="K94" s="4" t="s">
        <v>26</v>
      </c>
      <c r="L94" s="4" t="s">
        <v>21</v>
      </c>
      <c r="M94" s="4" t="s">
        <v>34</v>
      </c>
      <c r="N94" s="4" t="s">
        <v>23</v>
      </c>
      <c r="O94" s="4" t="str">
        <f>IF('Table1 (2)'!$J94&lt;=4000,"small order","large order")</f>
        <v>small order</v>
      </c>
      <c r="P94" s="4" t="str">
        <f>IF('Table1 (2)'!$N94="completed","revenue realized","awaiting completion")</f>
        <v>revenue realized</v>
      </c>
    </row>
    <row r="95" ht="14.25" customHeight="1">
      <c r="A95" s="3">
        <v>194.0</v>
      </c>
      <c r="B95" s="4" t="s">
        <v>24</v>
      </c>
      <c r="C95" s="5">
        <v>46090.0</v>
      </c>
      <c r="D95" s="4" t="str">
        <f t="shared" si="1"/>
        <v>weekday</v>
      </c>
      <c r="E95" s="4">
        <f t="shared" si="2"/>
        <v>3051</v>
      </c>
      <c r="F95" s="6">
        <v>46101.0</v>
      </c>
      <c r="G95" s="4" t="str">
        <f t="shared" si="3"/>
        <v>old order</v>
      </c>
      <c r="H95" s="4">
        <v>9.210958992E9</v>
      </c>
      <c r="I95" s="4" t="s">
        <v>39</v>
      </c>
      <c r="J95" s="4">
        <v>2933.0</v>
      </c>
      <c r="K95" s="4" t="s">
        <v>61</v>
      </c>
      <c r="L95" s="4" t="s">
        <v>21</v>
      </c>
      <c r="M95" s="4" t="s">
        <v>22</v>
      </c>
      <c r="N95" s="4" t="s">
        <v>55</v>
      </c>
      <c r="O95" s="4" t="str">
        <f>IF('Table1 (2)'!$J95&lt;=4000,"small order","large order")</f>
        <v>small order</v>
      </c>
      <c r="P95" s="4" t="str">
        <f>IF('Table1 (2)'!$N95="completed","revenue realized","awaiting completion")</f>
        <v>awaiting completion</v>
      </c>
    </row>
    <row r="96" ht="14.25" customHeight="1">
      <c r="A96" s="3">
        <v>195.0</v>
      </c>
      <c r="B96" s="4" t="s">
        <v>58</v>
      </c>
      <c r="C96" s="5">
        <v>46096.0</v>
      </c>
      <c r="D96" s="4" t="str">
        <f t="shared" si="1"/>
        <v>weekday</v>
      </c>
      <c r="E96" s="4">
        <f t="shared" si="2"/>
        <v>1018</v>
      </c>
      <c r="F96" s="6">
        <v>46101.0</v>
      </c>
      <c r="G96" s="4" t="str">
        <f t="shared" si="3"/>
        <v>recent order</v>
      </c>
      <c r="H96" s="4">
        <v>9.066163301E9</v>
      </c>
      <c r="I96" s="4" t="s">
        <v>60</v>
      </c>
      <c r="J96" s="4">
        <v>4870.0</v>
      </c>
      <c r="K96" s="4" t="s">
        <v>37</v>
      </c>
      <c r="L96" s="4" t="s">
        <v>38</v>
      </c>
      <c r="M96" s="4" t="s">
        <v>30</v>
      </c>
      <c r="N96" s="4" t="s">
        <v>55</v>
      </c>
      <c r="O96" s="4" t="str">
        <f>IF('Table1 (2)'!$J96&lt;=4000,"small order","large order")</f>
        <v>large order</v>
      </c>
      <c r="P96" s="4" t="str">
        <f>IF('Table1 (2)'!$N96="completed","revenue realized","awaiting completion")</f>
        <v>awaiting completion</v>
      </c>
    </row>
    <row r="97" ht="14.25" customHeight="1">
      <c r="A97" s="3">
        <v>196.0</v>
      </c>
      <c r="B97" s="4" t="s">
        <v>56</v>
      </c>
      <c r="C97" s="5">
        <v>46094.0</v>
      </c>
      <c r="D97" s="4" t="str">
        <f t="shared" si="1"/>
        <v>weekend</v>
      </c>
      <c r="E97" s="4">
        <f t="shared" si="2"/>
        <v>4753</v>
      </c>
      <c r="F97" s="6">
        <v>46101.0</v>
      </c>
      <c r="G97" s="4" t="str">
        <f t="shared" si="3"/>
        <v>recent order</v>
      </c>
      <c r="H97" s="4">
        <v>9.82522784E8</v>
      </c>
      <c r="I97" s="4" t="s">
        <v>66</v>
      </c>
      <c r="J97" s="4">
        <v>3051.0</v>
      </c>
      <c r="K97" s="4" t="s">
        <v>42</v>
      </c>
      <c r="L97" s="4" t="s">
        <v>38</v>
      </c>
      <c r="M97" s="4" t="s">
        <v>7</v>
      </c>
      <c r="N97" s="4" t="s">
        <v>23</v>
      </c>
      <c r="O97" s="4" t="str">
        <f>IF('Table1 (2)'!$J97&lt;=4000,"small order","large order")</f>
        <v>small order</v>
      </c>
      <c r="P97" s="4" t="str">
        <f>IF('Table1 (2)'!$N97="completed","revenue realized","awaiting completion")</f>
        <v>revenue realized</v>
      </c>
    </row>
    <row r="98" ht="14.25" customHeight="1">
      <c r="A98" s="3">
        <v>197.0</v>
      </c>
      <c r="B98" s="4" t="s">
        <v>52</v>
      </c>
      <c r="C98" s="5">
        <v>46095.0</v>
      </c>
      <c r="D98" s="4" t="str">
        <f t="shared" si="1"/>
        <v>weekend</v>
      </c>
      <c r="E98" s="4">
        <f t="shared" si="2"/>
        <v>5339</v>
      </c>
      <c r="F98" s="6">
        <v>46101.0</v>
      </c>
      <c r="G98" s="4" t="str">
        <f t="shared" si="3"/>
        <v>recent order</v>
      </c>
      <c r="H98" s="4">
        <v>9.9801281E8</v>
      </c>
      <c r="I98" s="4" t="s">
        <v>69</v>
      </c>
      <c r="J98" s="4">
        <v>1018.0</v>
      </c>
      <c r="K98" s="4" t="s">
        <v>40</v>
      </c>
      <c r="L98" s="4" t="s">
        <v>38</v>
      </c>
      <c r="M98" s="4" t="s">
        <v>22</v>
      </c>
      <c r="N98" s="4" t="s">
        <v>31</v>
      </c>
      <c r="O98" s="4" t="str">
        <f>IF('Table1 (2)'!$J98&lt;=4000,"small order","large order")</f>
        <v>small order</v>
      </c>
      <c r="P98" s="4" t="str">
        <f>IF('Table1 (2)'!$N98="completed","revenue realized","awaiting completion")</f>
        <v>awaiting completion</v>
      </c>
    </row>
    <row r="99" ht="14.25" customHeight="1">
      <c r="A99" s="3">
        <v>198.0</v>
      </c>
      <c r="B99" s="4" t="s">
        <v>58</v>
      </c>
      <c r="C99" s="5">
        <v>46097.0</v>
      </c>
      <c r="D99" s="4" t="str">
        <f t="shared" si="1"/>
        <v>weekday</v>
      </c>
      <c r="E99" s="4">
        <f t="shared" si="2"/>
        <v>1252</v>
      </c>
      <c r="F99" s="6">
        <v>46101.0</v>
      </c>
      <c r="G99" s="4" t="str">
        <f t="shared" si="3"/>
        <v>recent order</v>
      </c>
      <c r="H99" s="4">
        <v>9.491692372E9</v>
      </c>
      <c r="I99" s="4" t="s">
        <v>72</v>
      </c>
      <c r="J99" s="4">
        <v>4753.0</v>
      </c>
      <c r="K99" s="4" t="s">
        <v>47</v>
      </c>
      <c r="L99" s="4" t="s">
        <v>21</v>
      </c>
      <c r="M99" s="4" t="s">
        <v>7</v>
      </c>
      <c r="N99" s="4" t="s">
        <v>23</v>
      </c>
      <c r="O99" s="4" t="str">
        <f>IF('Table1 (2)'!$J99&lt;=4000,"small order","large order")</f>
        <v>large order</v>
      </c>
      <c r="P99" s="4" t="str">
        <f>IF('Table1 (2)'!$N99="completed","revenue realized","awaiting completion")</f>
        <v>revenue realized</v>
      </c>
    </row>
    <row r="100" ht="14.25" customHeight="1">
      <c r="A100" s="3">
        <v>199.0</v>
      </c>
      <c r="B100" s="4" t="s">
        <v>45</v>
      </c>
      <c r="C100" s="5">
        <v>46091.0</v>
      </c>
      <c r="D100" s="4" t="str">
        <f t="shared" si="1"/>
        <v>weekday</v>
      </c>
      <c r="E100" s="4">
        <f t="shared" si="2"/>
        <v>0</v>
      </c>
      <c r="F100" s="6">
        <v>46101.0</v>
      </c>
      <c r="G100" s="4" t="str">
        <f t="shared" si="3"/>
        <v>old order</v>
      </c>
      <c r="H100" s="4">
        <v>9796360.0</v>
      </c>
      <c r="I100" s="4" t="s">
        <v>46</v>
      </c>
      <c r="J100" s="4">
        <v>5339.0</v>
      </c>
      <c r="K100" s="4" t="s">
        <v>54</v>
      </c>
      <c r="L100" s="4" t="s">
        <v>38</v>
      </c>
      <c r="M100" s="4" t="s">
        <v>30</v>
      </c>
      <c r="N100" s="4" t="s">
        <v>23</v>
      </c>
      <c r="O100" s="4" t="str">
        <f>IF('Table1 (2)'!$J100&lt;=4000,"small order","large order")</f>
        <v>large order</v>
      </c>
      <c r="P100" s="4" t="str">
        <f>IF('Table1 (2)'!$N100="completed","revenue realized","awaiting completion")</f>
        <v>revenue realized</v>
      </c>
    </row>
    <row r="101" ht="14.25" customHeight="1">
      <c r="A101" s="3">
        <v>200.0</v>
      </c>
      <c r="B101" s="4" t="s">
        <v>56</v>
      </c>
      <c r="C101" s="5">
        <v>46093.0</v>
      </c>
      <c r="D101" s="4" t="str">
        <f t="shared" si="1"/>
        <v>weekday</v>
      </c>
      <c r="E101" s="4">
        <f t="shared" si="2"/>
        <v>0</v>
      </c>
      <c r="F101" s="6">
        <v>46101.0</v>
      </c>
      <c r="G101" s="4" t="str">
        <f t="shared" si="3"/>
        <v>old order</v>
      </c>
      <c r="H101" s="4">
        <v>9.547591253E9</v>
      </c>
      <c r="I101" s="4" t="s">
        <v>65</v>
      </c>
      <c r="J101" s="4">
        <v>1252.0</v>
      </c>
      <c r="K101" s="4" t="s">
        <v>47</v>
      </c>
      <c r="L101" s="4" t="s">
        <v>38</v>
      </c>
      <c r="M101" s="4" t="s">
        <v>34</v>
      </c>
      <c r="N101" s="4" t="s">
        <v>31</v>
      </c>
      <c r="O101" s="4" t="str">
        <f>IF('Table1 (2)'!$J101&lt;=4000,"small order","large order")</f>
        <v>small order</v>
      </c>
      <c r="P101" s="4" t="str">
        <f>IF('Table1 (2)'!$N101="completed","revenue realized","awaiting completion")</f>
        <v>awaiting completion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0"/>
    <col customWidth="1" min="3" max="3" width="14.43"/>
    <col customWidth="1" min="4" max="4" width="13.29"/>
    <col customWidth="1" min="5" max="5" width="21.71"/>
    <col customWidth="1" min="6" max="6" width="11.86"/>
    <col customWidth="1" min="7" max="7" width="13.43"/>
    <col customWidth="1" min="8" max="8" width="9.0"/>
    <col customWidth="1" min="9" max="9" width="9.43"/>
    <col customWidth="1" min="10" max="10" width="12.43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ht="14.25" customHeight="1">
      <c r="A2" s="3" t="s">
        <v>73</v>
      </c>
      <c r="B2" s="3" t="s">
        <v>74</v>
      </c>
      <c r="C2" s="3" t="s">
        <v>75</v>
      </c>
      <c r="D2" s="3" t="s">
        <v>76</v>
      </c>
      <c r="E2" s="3" t="s">
        <v>19</v>
      </c>
      <c r="F2" s="3" t="s">
        <v>77</v>
      </c>
      <c r="G2" s="3" t="s">
        <v>78</v>
      </c>
      <c r="H2" s="3" t="s">
        <v>79</v>
      </c>
      <c r="I2" s="3" t="s">
        <v>22</v>
      </c>
      <c r="J2" s="3" t="s">
        <v>80</v>
      </c>
    </row>
    <row r="3" ht="14.25" customHeight="1">
      <c r="A3" s="3" t="s">
        <v>81</v>
      </c>
      <c r="B3" s="3" t="s">
        <v>24</v>
      </c>
      <c r="C3" s="3" t="s">
        <v>82</v>
      </c>
      <c r="D3" s="3" t="s">
        <v>83</v>
      </c>
      <c r="E3" s="3" t="s">
        <v>25</v>
      </c>
      <c r="F3" s="3" t="s">
        <v>84</v>
      </c>
      <c r="G3" s="3" t="s">
        <v>26</v>
      </c>
      <c r="H3" s="3" t="s">
        <v>85</v>
      </c>
      <c r="I3" s="3" t="s">
        <v>7</v>
      </c>
      <c r="J3" s="3" t="s">
        <v>86</v>
      </c>
    </row>
    <row r="4" ht="14.25" customHeight="1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29</v>
      </c>
      <c r="H4" s="3" t="s">
        <v>85</v>
      </c>
      <c r="I4" s="3" t="s">
        <v>93</v>
      </c>
      <c r="J4" s="3" t="s">
        <v>31</v>
      </c>
    </row>
    <row r="5" ht="14.25" customHeight="1">
      <c r="A5" s="3" t="s">
        <v>94</v>
      </c>
      <c r="B5" s="3" t="s">
        <v>95</v>
      </c>
      <c r="C5" s="3" t="s">
        <v>96</v>
      </c>
      <c r="D5" s="3" t="s">
        <v>97</v>
      </c>
      <c r="E5" s="3" t="s">
        <v>98</v>
      </c>
      <c r="F5" s="3" t="s">
        <v>99</v>
      </c>
      <c r="G5" s="3" t="s">
        <v>29</v>
      </c>
      <c r="H5" s="3" t="s">
        <v>85</v>
      </c>
      <c r="I5" s="3" t="s">
        <v>100</v>
      </c>
      <c r="J5" s="3" t="s">
        <v>101</v>
      </c>
    </row>
    <row r="6" ht="14.25" customHeight="1">
      <c r="A6" s="3" t="s">
        <v>102</v>
      </c>
      <c r="B6" s="3" t="s">
        <v>103</v>
      </c>
      <c r="C6" s="3" t="s">
        <v>104</v>
      </c>
      <c r="D6" s="3" t="s">
        <v>105</v>
      </c>
      <c r="E6" s="3" t="s">
        <v>36</v>
      </c>
      <c r="F6" s="3" t="s">
        <v>106</v>
      </c>
      <c r="G6" s="3" t="s">
        <v>37</v>
      </c>
      <c r="H6" s="3" t="s">
        <v>38</v>
      </c>
      <c r="I6" s="3" t="s">
        <v>22</v>
      </c>
      <c r="J6" s="3" t="s">
        <v>31</v>
      </c>
    </row>
    <row r="7" ht="14.25" customHeight="1">
      <c r="A7" s="3" t="s">
        <v>107</v>
      </c>
      <c r="B7" s="3" t="s">
        <v>24</v>
      </c>
      <c r="C7" s="3" t="s">
        <v>108</v>
      </c>
      <c r="D7" s="3" t="s">
        <v>109</v>
      </c>
      <c r="E7" s="3" t="s">
        <v>110</v>
      </c>
      <c r="F7" s="3" t="s">
        <v>111</v>
      </c>
      <c r="G7" s="3" t="s">
        <v>112</v>
      </c>
      <c r="H7" s="3" t="s">
        <v>113</v>
      </c>
      <c r="I7" s="3" t="s">
        <v>93</v>
      </c>
      <c r="J7" s="3" t="s">
        <v>23</v>
      </c>
    </row>
    <row r="8" ht="14.25" customHeight="1">
      <c r="A8" s="3" t="s">
        <v>114</v>
      </c>
      <c r="B8" s="3" t="s">
        <v>74</v>
      </c>
      <c r="C8" s="3" t="s">
        <v>82</v>
      </c>
      <c r="D8" s="3" t="s">
        <v>115</v>
      </c>
      <c r="E8" s="3" t="s">
        <v>116</v>
      </c>
      <c r="F8" s="3" t="s">
        <v>117</v>
      </c>
      <c r="G8" s="3" t="s">
        <v>118</v>
      </c>
      <c r="H8" s="3" t="s">
        <v>119</v>
      </c>
      <c r="I8" s="3" t="s">
        <v>120</v>
      </c>
      <c r="J8" s="3" t="s">
        <v>86</v>
      </c>
    </row>
    <row r="9" ht="14.25" customHeight="1">
      <c r="A9" s="3" t="s">
        <v>121</v>
      </c>
      <c r="B9" s="3" t="s">
        <v>88</v>
      </c>
      <c r="C9" s="3" t="s">
        <v>89</v>
      </c>
      <c r="D9" s="3" t="s">
        <v>122</v>
      </c>
      <c r="E9" s="3" t="s">
        <v>43</v>
      </c>
      <c r="F9" s="3" t="s">
        <v>123</v>
      </c>
      <c r="G9" s="3" t="s">
        <v>29</v>
      </c>
      <c r="H9" s="3" t="s">
        <v>21</v>
      </c>
      <c r="I9" s="3" t="s">
        <v>34</v>
      </c>
      <c r="J9" s="3" t="s">
        <v>31</v>
      </c>
    </row>
    <row r="10" ht="14.25" customHeight="1">
      <c r="A10" s="3" t="s">
        <v>124</v>
      </c>
      <c r="B10" s="3" t="s">
        <v>24</v>
      </c>
      <c r="C10" s="3" t="s">
        <v>125</v>
      </c>
      <c r="D10" s="3" t="s">
        <v>126</v>
      </c>
      <c r="E10" s="3" t="s">
        <v>44</v>
      </c>
      <c r="F10" s="3" t="s">
        <v>127</v>
      </c>
      <c r="G10" s="3" t="s">
        <v>118</v>
      </c>
      <c r="H10" s="3" t="s">
        <v>128</v>
      </c>
      <c r="I10" s="3" t="s">
        <v>34</v>
      </c>
      <c r="J10" s="3" t="s">
        <v>80</v>
      </c>
    </row>
    <row r="11" ht="14.25" customHeight="1">
      <c r="A11" s="3" t="s">
        <v>129</v>
      </c>
      <c r="B11" s="3" t="s">
        <v>45</v>
      </c>
      <c r="C11" s="3" t="s">
        <v>89</v>
      </c>
      <c r="D11" s="3" t="s">
        <v>130</v>
      </c>
      <c r="E11" s="3" t="s">
        <v>131</v>
      </c>
      <c r="F11" s="3" t="s">
        <v>132</v>
      </c>
      <c r="G11" s="3" t="s">
        <v>47</v>
      </c>
      <c r="H11" s="3" t="s">
        <v>79</v>
      </c>
      <c r="I11" s="3" t="s">
        <v>7</v>
      </c>
      <c r="J11" s="3" t="s">
        <v>86</v>
      </c>
    </row>
    <row r="12" ht="14.25" customHeight="1">
      <c r="A12" s="3" t="s">
        <v>133</v>
      </c>
      <c r="B12" s="3" t="s">
        <v>103</v>
      </c>
      <c r="C12" s="3" t="s">
        <v>108</v>
      </c>
      <c r="D12" s="3" t="s">
        <v>134</v>
      </c>
      <c r="E12" s="3" t="s">
        <v>135</v>
      </c>
      <c r="F12" s="3" t="s">
        <v>136</v>
      </c>
      <c r="G12" s="3" t="s">
        <v>29</v>
      </c>
      <c r="H12" s="3" t="s">
        <v>85</v>
      </c>
      <c r="I12" s="3" t="s">
        <v>22</v>
      </c>
      <c r="J12" s="3" t="s">
        <v>86</v>
      </c>
    </row>
    <row r="13" ht="14.25" customHeight="1">
      <c r="A13" s="3" t="s">
        <v>137</v>
      </c>
      <c r="B13" s="3" t="s">
        <v>138</v>
      </c>
      <c r="C13" s="3" t="s">
        <v>139</v>
      </c>
      <c r="D13" s="3" t="s">
        <v>140</v>
      </c>
      <c r="E13" s="3" t="s">
        <v>141</v>
      </c>
      <c r="F13" s="3" t="s">
        <v>142</v>
      </c>
      <c r="G13" s="3" t="s">
        <v>143</v>
      </c>
      <c r="H13" s="3" t="s">
        <v>79</v>
      </c>
      <c r="I13" s="3" t="s">
        <v>30</v>
      </c>
      <c r="J13" s="3" t="s">
        <v>86</v>
      </c>
    </row>
    <row r="14" ht="14.25" customHeight="1">
      <c r="A14" s="3" t="s">
        <v>144</v>
      </c>
      <c r="B14" s="3" t="s">
        <v>24</v>
      </c>
      <c r="C14" s="3" t="s">
        <v>139</v>
      </c>
      <c r="D14" s="3" t="s">
        <v>145</v>
      </c>
      <c r="E14" s="3" t="s">
        <v>110</v>
      </c>
      <c r="F14" s="3" t="s">
        <v>146</v>
      </c>
      <c r="G14" s="3" t="s">
        <v>118</v>
      </c>
      <c r="H14" s="3" t="s">
        <v>79</v>
      </c>
      <c r="I14" s="3" t="s">
        <v>93</v>
      </c>
      <c r="J14" s="3" t="s">
        <v>101</v>
      </c>
    </row>
    <row r="15" ht="14.25" customHeight="1">
      <c r="A15" s="3" t="s">
        <v>147</v>
      </c>
      <c r="B15" s="3" t="s">
        <v>148</v>
      </c>
      <c r="C15" s="3" t="s">
        <v>104</v>
      </c>
      <c r="D15" s="3" t="s">
        <v>149</v>
      </c>
      <c r="E15" s="3" t="s">
        <v>53</v>
      </c>
      <c r="F15" s="3" t="s">
        <v>150</v>
      </c>
      <c r="G15" s="3" t="s">
        <v>118</v>
      </c>
      <c r="H15" s="3" t="s">
        <v>21</v>
      </c>
      <c r="I15" s="3" t="s">
        <v>100</v>
      </c>
      <c r="J15" s="3" t="s">
        <v>86</v>
      </c>
    </row>
    <row r="16" ht="14.25" customHeight="1">
      <c r="A16" s="3" t="s">
        <v>151</v>
      </c>
      <c r="B16" s="3" t="s">
        <v>24</v>
      </c>
      <c r="C16" s="3" t="s">
        <v>82</v>
      </c>
      <c r="D16" s="3" t="s">
        <v>152</v>
      </c>
      <c r="E16" s="3" t="s">
        <v>110</v>
      </c>
      <c r="F16" s="3" t="s">
        <v>153</v>
      </c>
      <c r="G16" s="3" t="s">
        <v>118</v>
      </c>
      <c r="H16" s="3" t="s">
        <v>79</v>
      </c>
      <c r="I16" s="3" t="s">
        <v>7</v>
      </c>
      <c r="J16" s="3" t="s">
        <v>31</v>
      </c>
    </row>
    <row r="17" ht="14.25" customHeight="1">
      <c r="A17" s="3" t="s">
        <v>154</v>
      </c>
      <c r="B17" s="3" t="s">
        <v>74</v>
      </c>
      <c r="C17" s="3" t="s">
        <v>125</v>
      </c>
      <c r="D17" s="3" t="s">
        <v>155</v>
      </c>
      <c r="E17" s="3" t="s">
        <v>156</v>
      </c>
      <c r="F17" s="3" t="s">
        <v>157</v>
      </c>
      <c r="G17" s="3" t="s">
        <v>54</v>
      </c>
      <c r="H17" s="3" t="s">
        <v>85</v>
      </c>
      <c r="I17" s="3" t="s">
        <v>30</v>
      </c>
      <c r="J17" s="3" t="s">
        <v>23</v>
      </c>
    </row>
    <row r="18" ht="14.25" customHeight="1">
      <c r="A18" s="3" t="s">
        <v>158</v>
      </c>
      <c r="B18" s="3" t="s">
        <v>103</v>
      </c>
      <c r="C18" s="3" t="s">
        <v>75</v>
      </c>
      <c r="D18" s="3" t="s">
        <v>159</v>
      </c>
      <c r="E18" s="3" t="s">
        <v>36</v>
      </c>
      <c r="F18" s="3" t="s">
        <v>160</v>
      </c>
      <c r="G18" s="3" t="s">
        <v>37</v>
      </c>
      <c r="H18" s="3" t="s">
        <v>113</v>
      </c>
      <c r="I18" s="3" t="s">
        <v>30</v>
      </c>
      <c r="J18" s="3" t="s">
        <v>101</v>
      </c>
    </row>
    <row r="19" ht="14.25" customHeight="1">
      <c r="A19" s="3" t="s">
        <v>161</v>
      </c>
      <c r="B19" s="3" t="s">
        <v>74</v>
      </c>
      <c r="C19" s="3" t="s">
        <v>162</v>
      </c>
      <c r="D19" s="3" t="s">
        <v>163</v>
      </c>
      <c r="E19" s="3" t="s">
        <v>19</v>
      </c>
      <c r="F19" s="3" t="s">
        <v>164</v>
      </c>
      <c r="G19" s="3" t="s">
        <v>143</v>
      </c>
      <c r="H19" s="3" t="s">
        <v>119</v>
      </c>
      <c r="I19" s="3" t="s">
        <v>34</v>
      </c>
      <c r="J19" s="3" t="s">
        <v>80</v>
      </c>
    </row>
    <row r="20" ht="14.25" customHeight="1">
      <c r="A20" s="3" t="s">
        <v>165</v>
      </c>
      <c r="B20" s="3" t="s">
        <v>74</v>
      </c>
      <c r="C20" s="3" t="s">
        <v>96</v>
      </c>
      <c r="D20" s="3" t="s">
        <v>166</v>
      </c>
      <c r="E20" s="3" t="s">
        <v>156</v>
      </c>
      <c r="F20" s="3" t="s">
        <v>167</v>
      </c>
      <c r="G20" s="3" t="s">
        <v>29</v>
      </c>
      <c r="H20" s="3" t="s">
        <v>113</v>
      </c>
      <c r="I20" s="3" t="s">
        <v>168</v>
      </c>
      <c r="J20" s="3" t="s">
        <v>101</v>
      </c>
    </row>
    <row r="21" ht="14.25" customHeight="1">
      <c r="A21" s="3" t="s">
        <v>169</v>
      </c>
      <c r="B21" s="3" t="s">
        <v>24</v>
      </c>
      <c r="C21" s="3" t="s">
        <v>108</v>
      </c>
      <c r="D21" s="3" t="s">
        <v>170</v>
      </c>
      <c r="E21" s="3" t="s">
        <v>44</v>
      </c>
      <c r="F21" s="3" t="s">
        <v>171</v>
      </c>
      <c r="G21" s="3" t="s">
        <v>118</v>
      </c>
      <c r="H21" s="3" t="s">
        <v>172</v>
      </c>
      <c r="I21" s="3" t="s">
        <v>100</v>
      </c>
      <c r="J21" s="3" t="s">
        <v>31</v>
      </c>
    </row>
    <row r="22" ht="14.25" customHeight="1">
      <c r="A22" s="3" t="s">
        <v>173</v>
      </c>
      <c r="B22" s="3" t="s">
        <v>103</v>
      </c>
      <c r="C22" s="3" t="s">
        <v>125</v>
      </c>
      <c r="D22" s="3" t="s">
        <v>174</v>
      </c>
      <c r="E22" s="3" t="s">
        <v>36</v>
      </c>
      <c r="F22" s="3" t="s">
        <v>175</v>
      </c>
      <c r="G22" s="3" t="s">
        <v>47</v>
      </c>
      <c r="H22" s="3" t="s">
        <v>79</v>
      </c>
      <c r="I22" s="3" t="s">
        <v>22</v>
      </c>
      <c r="J22" s="3" t="s">
        <v>23</v>
      </c>
    </row>
    <row r="23" ht="14.25" customHeight="1">
      <c r="A23" s="3" t="s">
        <v>176</v>
      </c>
      <c r="B23" s="3" t="s">
        <v>148</v>
      </c>
      <c r="C23" s="3" t="s">
        <v>89</v>
      </c>
      <c r="D23" s="3" t="s">
        <v>177</v>
      </c>
      <c r="E23" s="3" t="s">
        <v>53</v>
      </c>
      <c r="F23" s="3" t="s">
        <v>178</v>
      </c>
      <c r="G23" s="3" t="s">
        <v>118</v>
      </c>
      <c r="H23" s="3" t="s">
        <v>172</v>
      </c>
      <c r="I23" s="3" t="s">
        <v>30</v>
      </c>
      <c r="J23" s="3" t="s">
        <v>55</v>
      </c>
    </row>
    <row r="24" ht="14.25" customHeight="1">
      <c r="A24" s="3" t="s">
        <v>179</v>
      </c>
      <c r="B24" s="3" t="s">
        <v>56</v>
      </c>
      <c r="C24" s="3" t="s">
        <v>104</v>
      </c>
      <c r="D24" s="3" t="s">
        <v>180</v>
      </c>
      <c r="E24" s="3" t="s">
        <v>57</v>
      </c>
      <c r="F24" s="3" t="s">
        <v>181</v>
      </c>
      <c r="G24" s="3" t="s">
        <v>26</v>
      </c>
      <c r="H24" s="3" t="s">
        <v>21</v>
      </c>
      <c r="I24" s="3" t="s">
        <v>120</v>
      </c>
      <c r="J24" s="3" t="s">
        <v>55</v>
      </c>
    </row>
    <row r="25" ht="14.25" customHeight="1">
      <c r="A25" s="3" t="s">
        <v>182</v>
      </c>
      <c r="B25" s="3" t="s">
        <v>183</v>
      </c>
      <c r="C25" s="3" t="s">
        <v>89</v>
      </c>
      <c r="D25" s="3" t="s">
        <v>184</v>
      </c>
      <c r="E25" s="3" t="s">
        <v>59</v>
      </c>
      <c r="F25" s="3" t="s">
        <v>185</v>
      </c>
      <c r="G25" s="3" t="s">
        <v>29</v>
      </c>
      <c r="H25" s="3" t="s">
        <v>119</v>
      </c>
      <c r="I25" s="3" t="s">
        <v>120</v>
      </c>
      <c r="J25" s="3" t="s">
        <v>23</v>
      </c>
    </row>
    <row r="26" ht="14.25" customHeight="1">
      <c r="A26" s="3" t="s">
        <v>186</v>
      </c>
      <c r="B26" s="3" t="s">
        <v>138</v>
      </c>
      <c r="C26" s="3" t="s">
        <v>125</v>
      </c>
      <c r="D26" s="3" t="s">
        <v>187</v>
      </c>
      <c r="E26" s="3" t="s">
        <v>141</v>
      </c>
      <c r="F26" s="3" t="s">
        <v>188</v>
      </c>
      <c r="G26" s="3" t="s">
        <v>47</v>
      </c>
      <c r="H26" s="3" t="s">
        <v>172</v>
      </c>
      <c r="I26" s="3" t="s">
        <v>34</v>
      </c>
      <c r="J26" s="3" t="s">
        <v>23</v>
      </c>
    </row>
    <row r="27" ht="14.25" customHeight="1">
      <c r="A27" s="3" t="s">
        <v>189</v>
      </c>
      <c r="B27" s="3" t="s">
        <v>88</v>
      </c>
      <c r="C27" s="3" t="s">
        <v>125</v>
      </c>
      <c r="D27" s="3" t="s">
        <v>190</v>
      </c>
      <c r="E27" s="3" t="s">
        <v>191</v>
      </c>
      <c r="F27" s="3" t="s">
        <v>192</v>
      </c>
      <c r="G27" s="3" t="s">
        <v>29</v>
      </c>
      <c r="H27" s="3" t="s">
        <v>119</v>
      </c>
      <c r="I27" s="3" t="s">
        <v>120</v>
      </c>
      <c r="J27" s="3" t="s">
        <v>55</v>
      </c>
    </row>
    <row r="28" ht="14.25" customHeight="1">
      <c r="A28" s="3" t="s">
        <v>193</v>
      </c>
      <c r="B28" s="3" t="s">
        <v>183</v>
      </c>
      <c r="C28" s="3" t="s">
        <v>96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38</v>
      </c>
      <c r="I28" s="3" t="s">
        <v>120</v>
      </c>
      <c r="J28" s="3" t="s">
        <v>86</v>
      </c>
    </row>
    <row r="29" ht="14.25" customHeight="1">
      <c r="A29" s="3" t="s">
        <v>198</v>
      </c>
      <c r="B29" s="3" t="s">
        <v>103</v>
      </c>
      <c r="C29" s="3" t="s">
        <v>199</v>
      </c>
      <c r="D29" s="3" t="s">
        <v>200</v>
      </c>
      <c r="E29" s="3" t="s">
        <v>36</v>
      </c>
      <c r="F29" s="3" t="s">
        <v>201</v>
      </c>
      <c r="G29" s="3" t="s">
        <v>78</v>
      </c>
      <c r="H29" s="3" t="s">
        <v>85</v>
      </c>
      <c r="I29" s="3" t="s">
        <v>22</v>
      </c>
      <c r="J29" s="3" t="s">
        <v>55</v>
      </c>
    </row>
    <row r="30" ht="14.25" customHeight="1">
      <c r="A30" s="3" t="s">
        <v>202</v>
      </c>
      <c r="B30" s="3" t="s">
        <v>24</v>
      </c>
      <c r="C30" s="3" t="s">
        <v>125</v>
      </c>
      <c r="D30" s="3" t="s">
        <v>203</v>
      </c>
      <c r="E30" s="3" t="s">
        <v>44</v>
      </c>
      <c r="F30" s="3" t="s">
        <v>204</v>
      </c>
      <c r="G30" s="3" t="s">
        <v>29</v>
      </c>
      <c r="H30" s="3" t="s">
        <v>113</v>
      </c>
      <c r="I30" s="3" t="s">
        <v>22</v>
      </c>
      <c r="J30" s="3" t="s">
        <v>101</v>
      </c>
    </row>
    <row r="31" ht="14.25" customHeight="1">
      <c r="A31" s="3" t="s">
        <v>205</v>
      </c>
      <c r="B31" s="3" t="s">
        <v>138</v>
      </c>
      <c r="C31" s="3" t="s">
        <v>139</v>
      </c>
      <c r="D31" s="3" t="s">
        <v>206</v>
      </c>
      <c r="E31" s="3" t="s">
        <v>62</v>
      </c>
      <c r="F31" s="3" t="s">
        <v>207</v>
      </c>
      <c r="G31" s="3" t="s">
        <v>47</v>
      </c>
      <c r="H31" s="3" t="s">
        <v>38</v>
      </c>
      <c r="I31" s="3" t="s">
        <v>100</v>
      </c>
      <c r="J31" s="3" t="s">
        <v>55</v>
      </c>
    </row>
    <row r="32" ht="14.25" customHeight="1">
      <c r="A32" s="3" t="s">
        <v>208</v>
      </c>
      <c r="B32" s="3" t="s">
        <v>74</v>
      </c>
      <c r="C32" s="3" t="s">
        <v>82</v>
      </c>
      <c r="D32" s="3" t="s">
        <v>209</v>
      </c>
      <c r="E32" s="3" t="s">
        <v>63</v>
      </c>
      <c r="F32" s="3" t="s">
        <v>210</v>
      </c>
      <c r="G32" s="3" t="s">
        <v>29</v>
      </c>
      <c r="H32" s="3" t="s">
        <v>38</v>
      </c>
      <c r="I32" s="3" t="s">
        <v>30</v>
      </c>
      <c r="J32" s="3" t="s">
        <v>101</v>
      </c>
    </row>
    <row r="33" ht="14.25" customHeight="1">
      <c r="A33" s="3" t="s">
        <v>211</v>
      </c>
      <c r="B33" s="3" t="s">
        <v>103</v>
      </c>
      <c r="C33" s="3" t="s">
        <v>89</v>
      </c>
      <c r="D33" s="3" t="s">
        <v>212</v>
      </c>
      <c r="E33" s="3" t="s">
        <v>135</v>
      </c>
      <c r="F33" s="3" t="s">
        <v>213</v>
      </c>
      <c r="G33" s="3" t="s">
        <v>112</v>
      </c>
      <c r="H33" s="3" t="s">
        <v>128</v>
      </c>
      <c r="I33" s="3" t="s">
        <v>100</v>
      </c>
      <c r="J33" s="3" t="s">
        <v>80</v>
      </c>
    </row>
    <row r="34" ht="14.25" customHeight="1">
      <c r="A34" s="3" t="s">
        <v>214</v>
      </c>
      <c r="B34" s="3" t="s">
        <v>95</v>
      </c>
      <c r="C34" s="3" t="s">
        <v>96</v>
      </c>
      <c r="D34" s="3" t="s">
        <v>215</v>
      </c>
      <c r="E34" s="3" t="s">
        <v>216</v>
      </c>
      <c r="F34" s="3" t="s">
        <v>217</v>
      </c>
      <c r="G34" s="3" t="s">
        <v>197</v>
      </c>
      <c r="H34" s="3" t="s">
        <v>113</v>
      </c>
      <c r="I34" s="3" t="s">
        <v>93</v>
      </c>
      <c r="J34" s="3" t="s">
        <v>80</v>
      </c>
    </row>
    <row r="35" ht="14.25" customHeight="1">
      <c r="A35" s="3" t="s">
        <v>218</v>
      </c>
      <c r="B35" s="3" t="s">
        <v>24</v>
      </c>
      <c r="C35" s="3" t="s">
        <v>104</v>
      </c>
      <c r="D35" s="3" t="s">
        <v>219</v>
      </c>
      <c r="E35" s="3" t="s">
        <v>44</v>
      </c>
      <c r="F35" s="3" t="s">
        <v>220</v>
      </c>
      <c r="G35" s="3" t="s">
        <v>47</v>
      </c>
      <c r="H35" s="3" t="s">
        <v>172</v>
      </c>
      <c r="I35" s="3" t="s">
        <v>120</v>
      </c>
      <c r="J35" s="3" t="s">
        <v>86</v>
      </c>
    </row>
    <row r="36" ht="14.25" customHeight="1">
      <c r="A36" s="3" t="s">
        <v>221</v>
      </c>
      <c r="B36" s="3" t="s">
        <v>183</v>
      </c>
      <c r="C36" s="3" t="s">
        <v>82</v>
      </c>
      <c r="D36" s="3" t="s">
        <v>222</v>
      </c>
      <c r="E36" s="3" t="s">
        <v>195</v>
      </c>
      <c r="F36" s="3" t="s">
        <v>223</v>
      </c>
      <c r="G36" s="3" t="s">
        <v>197</v>
      </c>
      <c r="H36" s="3" t="s">
        <v>113</v>
      </c>
      <c r="I36" s="3" t="s">
        <v>22</v>
      </c>
      <c r="J36" s="3" t="s">
        <v>55</v>
      </c>
    </row>
    <row r="37" ht="14.25" customHeight="1">
      <c r="A37" s="3" t="s">
        <v>224</v>
      </c>
      <c r="B37" s="3" t="s">
        <v>45</v>
      </c>
      <c r="C37" s="3" t="s">
        <v>104</v>
      </c>
      <c r="D37" s="3" t="s">
        <v>225</v>
      </c>
      <c r="E37" s="3" t="s">
        <v>226</v>
      </c>
      <c r="F37" s="3" t="s">
        <v>227</v>
      </c>
      <c r="G37" s="3" t="s">
        <v>29</v>
      </c>
      <c r="H37" s="3" t="s">
        <v>21</v>
      </c>
      <c r="I37" s="3" t="s">
        <v>93</v>
      </c>
      <c r="J37" s="3" t="s">
        <v>101</v>
      </c>
    </row>
    <row r="38" ht="14.25" customHeight="1">
      <c r="A38" s="3" t="s">
        <v>228</v>
      </c>
      <c r="B38" s="3" t="s">
        <v>183</v>
      </c>
      <c r="C38" s="3" t="s">
        <v>125</v>
      </c>
      <c r="D38" s="3" t="s">
        <v>229</v>
      </c>
      <c r="E38" s="3" t="s">
        <v>230</v>
      </c>
      <c r="F38" s="3" t="s">
        <v>231</v>
      </c>
      <c r="G38" s="3" t="s">
        <v>112</v>
      </c>
      <c r="H38" s="3" t="s">
        <v>38</v>
      </c>
      <c r="I38" s="3" t="s">
        <v>30</v>
      </c>
      <c r="J38" s="3" t="s">
        <v>80</v>
      </c>
    </row>
    <row r="39" ht="14.25" customHeight="1">
      <c r="A39" s="3" t="s">
        <v>232</v>
      </c>
      <c r="B39" s="3" t="s">
        <v>138</v>
      </c>
      <c r="C39" s="3" t="s">
        <v>104</v>
      </c>
      <c r="D39" s="3" t="s">
        <v>233</v>
      </c>
      <c r="E39" s="3" t="s">
        <v>64</v>
      </c>
      <c r="F39" s="3" t="s">
        <v>234</v>
      </c>
      <c r="G39" s="3" t="s">
        <v>29</v>
      </c>
      <c r="H39" s="3" t="s">
        <v>79</v>
      </c>
      <c r="I39" s="3" t="s">
        <v>34</v>
      </c>
      <c r="J39" s="3" t="s">
        <v>31</v>
      </c>
    </row>
    <row r="40" ht="14.25" customHeight="1">
      <c r="A40" s="3" t="s">
        <v>235</v>
      </c>
      <c r="B40" s="3" t="s">
        <v>103</v>
      </c>
      <c r="C40" s="3" t="s">
        <v>104</v>
      </c>
      <c r="D40" s="3" t="s">
        <v>236</v>
      </c>
      <c r="E40" s="3" t="s">
        <v>135</v>
      </c>
      <c r="F40" s="3" t="s">
        <v>237</v>
      </c>
      <c r="G40" s="3" t="s">
        <v>197</v>
      </c>
      <c r="H40" s="3" t="s">
        <v>119</v>
      </c>
      <c r="I40" s="3" t="s">
        <v>7</v>
      </c>
      <c r="J40" s="3" t="s">
        <v>86</v>
      </c>
    </row>
    <row r="41" ht="14.25" customHeight="1">
      <c r="A41" s="3" t="s">
        <v>238</v>
      </c>
      <c r="B41" s="3" t="s">
        <v>56</v>
      </c>
      <c r="C41" s="3" t="s">
        <v>139</v>
      </c>
      <c r="D41" s="3" t="s">
        <v>239</v>
      </c>
      <c r="E41" s="3" t="s">
        <v>240</v>
      </c>
      <c r="F41" s="3" t="s">
        <v>241</v>
      </c>
      <c r="G41" s="3" t="s">
        <v>47</v>
      </c>
      <c r="H41" s="3" t="s">
        <v>128</v>
      </c>
      <c r="I41" s="3" t="s">
        <v>120</v>
      </c>
      <c r="J41" s="3" t="s">
        <v>55</v>
      </c>
    </row>
    <row r="42" ht="14.25" customHeight="1">
      <c r="A42" s="3" t="s">
        <v>242</v>
      </c>
      <c r="B42" s="3" t="s">
        <v>56</v>
      </c>
      <c r="C42" s="3" t="s">
        <v>108</v>
      </c>
      <c r="D42" s="3" t="s">
        <v>243</v>
      </c>
      <c r="E42" s="3" t="s">
        <v>66</v>
      </c>
      <c r="F42" s="3" t="s">
        <v>244</v>
      </c>
      <c r="G42" s="3" t="s">
        <v>37</v>
      </c>
      <c r="H42" s="3" t="s">
        <v>119</v>
      </c>
      <c r="I42" s="3" t="s">
        <v>168</v>
      </c>
      <c r="J42" s="3" t="s">
        <v>31</v>
      </c>
    </row>
    <row r="43" ht="14.25" customHeight="1">
      <c r="A43" s="3" t="s">
        <v>245</v>
      </c>
      <c r="B43" s="3" t="s">
        <v>103</v>
      </c>
      <c r="C43" s="3" t="s">
        <v>104</v>
      </c>
      <c r="D43" s="3" t="s">
        <v>246</v>
      </c>
      <c r="E43" s="3" t="s">
        <v>135</v>
      </c>
      <c r="F43" s="3" t="s">
        <v>247</v>
      </c>
      <c r="G43" s="3" t="s">
        <v>78</v>
      </c>
      <c r="H43" s="3" t="s">
        <v>172</v>
      </c>
      <c r="I43" s="3" t="s">
        <v>22</v>
      </c>
      <c r="J43" s="3" t="s">
        <v>86</v>
      </c>
    </row>
    <row r="44" ht="14.25" customHeight="1">
      <c r="A44" s="3" t="s">
        <v>248</v>
      </c>
      <c r="B44" s="3" t="s">
        <v>45</v>
      </c>
      <c r="C44" s="3" t="s">
        <v>125</v>
      </c>
      <c r="D44" s="3" t="s">
        <v>249</v>
      </c>
      <c r="E44" s="3" t="s">
        <v>131</v>
      </c>
      <c r="F44" s="3" t="s">
        <v>250</v>
      </c>
      <c r="G44" s="3" t="s">
        <v>47</v>
      </c>
      <c r="H44" s="3" t="s">
        <v>172</v>
      </c>
      <c r="I44" s="3" t="s">
        <v>34</v>
      </c>
      <c r="J44" s="3" t="s">
        <v>86</v>
      </c>
    </row>
    <row r="45" ht="14.25" customHeight="1">
      <c r="A45" s="3" t="s">
        <v>251</v>
      </c>
      <c r="B45" s="3" t="s">
        <v>138</v>
      </c>
      <c r="C45" s="3" t="s">
        <v>199</v>
      </c>
      <c r="D45" s="3" t="s">
        <v>252</v>
      </c>
      <c r="E45" s="3" t="s">
        <v>64</v>
      </c>
      <c r="F45" s="3" t="s">
        <v>253</v>
      </c>
      <c r="G45" s="3" t="s">
        <v>197</v>
      </c>
      <c r="H45" s="3" t="s">
        <v>128</v>
      </c>
      <c r="I45" s="3" t="s">
        <v>7</v>
      </c>
      <c r="J45" s="3" t="s">
        <v>23</v>
      </c>
    </row>
    <row r="46" ht="14.25" customHeight="1">
      <c r="A46" s="3" t="s">
        <v>254</v>
      </c>
      <c r="B46" s="3" t="s">
        <v>95</v>
      </c>
      <c r="C46" s="3" t="s">
        <v>125</v>
      </c>
      <c r="D46" s="3" t="s">
        <v>255</v>
      </c>
      <c r="E46" s="3" t="s">
        <v>67</v>
      </c>
      <c r="F46" s="3" t="s">
        <v>256</v>
      </c>
      <c r="G46" s="3" t="s">
        <v>54</v>
      </c>
      <c r="H46" s="3" t="s">
        <v>113</v>
      </c>
      <c r="I46" s="3" t="s">
        <v>93</v>
      </c>
      <c r="J46" s="3" t="s">
        <v>80</v>
      </c>
    </row>
    <row r="47" ht="14.25" customHeight="1">
      <c r="A47" s="3" t="s">
        <v>257</v>
      </c>
      <c r="B47" s="3" t="s">
        <v>56</v>
      </c>
      <c r="C47" s="3" t="s">
        <v>108</v>
      </c>
      <c r="D47" s="3" t="s">
        <v>258</v>
      </c>
      <c r="E47" s="3" t="s">
        <v>57</v>
      </c>
      <c r="F47" s="3" t="s">
        <v>259</v>
      </c>
      <c r="G47" s="3" t="s">
        <v>54</v>
      </c>
      <c r="H47" s="3" t="s">
        <v>113</v>
      </c>
      <c r="I47" s="3" t="s">
        <v>30</v>
      </c>
      <c r="J47" s="3" t="s">
        <v>31</v>
      </c>
    </row>
    <row r="48" ht="14.25" customHeight="1">
      <c r="A48" s="3" t="s">
        <v>260</v>
      </c>
      <c r="B48" s="3" t="s">
        <v>24</v>
      </c>
      <c r="C48" s="3" t="s">
        <v>125</v>
      </c>
      <c r="D48" s="3" t="s">
        <v>261</v>
      </c>
      <c r="E48" s="3" t="s">
        <v>110</v>
      </c>
      <c r="F48" s="3" t="s">
        <v>262</v>
      </c>
      <c r="G48" s="3" t="s">
        <v>37</v>
      </c>
      <c r="H48" s="3" t="s">
        <v>79</v>
      </c>
      <c r="I48" s="3" t="s">
        <v>22</v>
      </c>
      <c r="J48" s="3" t="s">
        <v>101</v>
      </c>
    </row>
    <row r="49" ht="14.25" customHeight="1">
      <c r="A49" s="3" t="s">
        <v>263</v>
      </c>
      <c r="B49" s="3" t="s">
        <v>74</v>
      </c>
      <c r="C49" s="3" t="s">
        <v>199</v>
      </c>
      <c r="D49" s="3" t="s">
        <v>264</v>
      </c>
      <c r="E49" s="3" t="s">
        <v>63</v>
      </c>
      <c r="F49" s="3" t="s">
        <v>265</v>
      </c>
      <c r="G49" s="3" t="s">
        <v>118</v>
      </c>
      <c r="H49" s="3" t="s">
        <v>128</v>
      </c>
      <c r="I49" s="3" t="s">
        <v>100</v>
      </c>
      <c r="J49" s="3" t="s">
        <v>31</v>
      </c>
    </row>
    <row r="50" ht="14.25" customHeight="1">
      <c r="A50" s="3" t="s">
        <v>266</v>
      </c>
      <c r="B50" s="3" t="s">
        <v>74</v>
      </c>
      <c r="C50" s="3" t="s">
        <v>125</v>
      </c>
      <c r="D50" s="3" t="s">
        <v>267</v>
      </c>
      <c r="E50" s="3" t="s">
        <v>19</v>
      </c>
      <c r="F50" s="3" t="s">
        <v>268</v>
      </c>
      <c r="G50" s="3" t="s">
        <v>47</v>
      </c>
      <c r="H50" s="3" t="s">
        <v>79</v>
      </c>
      <c r="I50" s="3" t="s">
        <v>120</v>
      </c>
      <c r="J50" s="3" t="s">
        <v>55</v>
      </c>
    </row>
    <row r="51" ht="14.25" customHeight="1">
      <c r="A51" s="3" t="s">
        <v>269</v>
      </c>
      <c r="B51" s="3" t="s">
        <v>103</v>
      </c>
      <c r="C51" s="3" t="s">
        <v>104</v>
      </c>
      <c r="D51" s="3" t="s">
        <v>270</v>
      </c>
      <c r="E51" s="3" t="s">
        <v>36</v>
      </c>
      <c r="F51" s="3" t="s">
        <v>271</v>
      </c>
      <c r="G51" s="3" t="s">
        <v>47</v>
      </c>
      <c r="H51" s="3" t="s">
        <v>21</v>
      </c>
      <c r="I51" s="3" t="s">
        <v>100</v>
      </c>
      <c r="J51" s="3" t="s">
        <v>23</v>
      </c>
    </row>
    <row r="52" ht="14.25" customHeight="1">
      <c r="A52" s="3" t="s">
        <v>272</v>
      </c>
      <c r="B52" s="3" t="s">
        <v>95</v>
      </c>
      <c r="C52" s="3" t="s">
        <v>104</v>
      </c>
      <c r="D52" s="3" t="s">
        <v>273</v>
      </c>
      <c r="E52" s="3" t="s">
        <v>68</v>
      </c>
      <c r="F52" s="3" t="s">
        <v>274</v>
      </c>
      <c r="G52" s="3" t="s">
        <v>29</v>
      </c>
      <c r="H52" s="3" t="s">
        <v>172</v>
      </c>
      <c r="I52" s="3" t="s">
        <v>120</v>
      </c>
      <c r="J52" s="3" t="s">
        <v>101</v>
      </c>
    </row>
    <row r="53" ht="14.25" customHeight="1">
      <c r="A53" s="3" t="s">
        <v>275</v>
      </c>
      <c r="B53" s="3" t="s">
        <v>74</v>
      </c>
      <c r="C53" s="3" t="s">
        <v>162</v>
      </c>
      <c r="D53" s="3" t="s">
        <v>276</v>
      </c>
      <c r="E53" s="3" t="s">
        <v>19</v>
      </c>
      <c r="F53" s="3" t="s">
        <v>277</v>
      </c>
      <c r="G53" s="3" t="s">
        <v>78</v>
      </c>
      <c r="H53" s="3" t="s">
        <v>113</v>
      </c>
      <c r="I53" s="3" t="s">
        <v>120</v>
      </c>
      <c r="J53" s="3" t="s">
        <v>86</v>
      </c>
    </row>
    <row r="54" ht="14.25" customHeight="1">
      <c r="A54" s="3" t="s">
        <v>278</v>
      </c>
      <c r="B54" s="3" t="s">
        <v>95</v>
      </c>
      <c r="C54" s="3" t="s">
        <v>125</v>
      </c>
      <c r="D54" s="3" t="s">
        <v>279</v>
      </c>
      <c r="E54" s="3" t="s">
        <v>98</v>
      </c>
      <c r="F54" s="3" t="s">
        <v>280</v>
      </c>
      <c r="G54" s="3" t="s">
        <v>143</v>
      </c>
      <c r="H54" s="3" t="s">
        <v>79</v>
      </c>
      <c r="I54" s="3" t="s">
        <v>120</v>
      </c>
      <c r="J54" s="3" t="s">
        <v>55</v>
      </c>
    </row>
    <row r="55" ht="14.25" customHeight="1">
      <c r="A55" s="3" t="s">
        <v>281</v>
      </c>
      <c r="B55" s="3" t="s">
        <v>95</v>
      </c>
      <c r="C55" s="3" t="s">
        <v>89</v>
      </c>
      <c r="D55" s="3" t="s">
        <v>282</v>
      </c>
      <c r="E55" s="3" t="s">
        <v>67</v>
      </c>
      <c r="F55" s="3" t="s">
        <v>283</v>
      </c>
      <c r="G55" s="3" t="s">
        <v>26</v>
      </c>
      <c r="H55" s="3" t="s">
        <v>172</v>
      </c>
      <c r="I55" s="3" t="s">
        <v>168</v>
      </c>
      <c r="J55" s="3" t="s">
        <v>80</v>
      </c>
    </row>
    <row r="56" ht="14.25" customHeight="1">
      <c r="A56" s="3" t="s">
        <v>284</v>
      </c>
      <c r="B56" s="3" t="s">
        <v>148</v>
      </c>
      <c r="C56" s="3" t="s">
        <v>125</v>
      </c>
      <c r="D56" s="3" t="s">
        <v>285</v>
      </c>
      <c r="E56" s="3" t="s">
        <v>286</v>
      </c>
      <c r="F56" s="3" t="s">
        <v>287</v>
      </c>
      <c r="G56" s="3" t="s">
        <v>29</v>
      </c>
      <c r="H56" s="3" t="s">
        <v>85</v>
      </c>
      <c r="I56" s="3" t="s">
        <v>22</v>
      </c>
      <c r="J56" s="3" t="s">
        <v>31</v>
      </c>
    </row>
    <row r="57" ht="14.25" customHeight="1">
      <c r="A57" s="3" t="s">
        <v>288</v>
      </c>
      <c r="B57" s="3" t="s">
        <v>74</v>
      </c>
      <c r="C57" s="3" t="s">
        <v>82</v>
      </c>
      <c r="D57" s="3" t="s">
        <v>289</v>
      </c>
      <c r="E57" s="3" t="s">
        <v>156</v>
      </c>
      <c r="F57" s="3" t="s">
        <v>290</v>
      </c>
      <c r="G57" s="3" t="s">
        <v>118</v>
      </c>
      <c r="H57" s="3" t="s">
        <v>172</v>
      </c>
      <c r="I57" s="3" t="s">
        <v>34</v>
      </c>
      <c r="J57" s="3" t="s">
        <v>86</v>
      </c>
    </row>
    <row r="58" ht="14.25" customHeight="1">
      <c r="A58" s="3" t="s">
        <v>291</v>
      </c>
      <c r="B58" s="3" t="s">
        <v>45</v>
      </c>
      <c r="C58" s="3" t="s">
        <v>162</v>
      </c>
      <c r="D58" s="3" t="s">
        <v>292</v>
      </c>
      <c r="E58" s="3" t="s">
        <v>226</v>
      </c>
      <c r="F58" s="3" t="s">
        <v>293</v>
      </c>
      <c r="G58" s="3" t="s">
        <v>112</v>
      </c>
      <c r="H58" s="3" t="s">
        <v>128</v>
      </c>
      <c r="I58" s="3" t="s">
        <v>34</v>
      </c>
      <c r="J58" s="3" t="s">
        <v>86</v>
      </c>
    </row>
    <row r="59" ht="14.25" customHeight="1">
      <c r="A59" s="3" t="s">
        <v>294</v>
      </c>
      <c r="B59" s="3" t="s">
        <v>24</v>
      </c>
      <c r="C59" s="3" t="s">
        <v>75</v>
      </c>
      <c r="D59" s="3" t="s">
        <v>295</v>
      </c>
      <c r="E59" s="3" t="s">
        <v>296</v>
      </c>
      <c r="F59" s="3" t="s">
        <v>297</v>
      </c>
      <c r="G59" s="3" t="s">
        <v>112</v>
      </c>
      <c r="H59" s="3" t="s">
        <v>172</v>
      </c>
      <c r="I59" s="3" t="s">
        <v>168</v>
      </c>
      <c r="J59" s="3" t="s">
        <v>101</v>
      </c>
    </row>
    <row r="60" ht="14.25" customHeight="1">
      <c r="A60" s="3" t="s">
        <v>298</v>
      </c>
      <c r="B60" s="3" t="s">
        <v>56</v>
      </c>
      <c r="C60" s="3" t="s">
        <v>82</v>
      </c>
      <c r="D60" s="3" t="s">
        <v>299</v>
      </c>
      <c r="E60" s="3" t="s">
        <v>66</v>
      </c>
      <c r="F60" s="3" t="s">
        <v>300</v>
      </c>
      <c r="G60" s="3" t="s">
        <v>143</v>
      </c>
      <c r="H60" s="3" t="s">
        <v>172</v>
      </c>
      <c r="I60" s="3" t="s">
        <v>100</v>
      </c>
      <c r="J60" s="3" t="s">
        <v>23</v>
      </c>
    </row>
    <row r="61" ht="14.25" customHeight="1">
      <c r="A61" s="3" t="s">
        <v>301</v>
      </c>
      <c r="B61" s="3" t="s">
        <v>45</v>
      </c>
      <c r="C61" s="3" t="s">
        <v>108</v>
      </c>
      <c r="D61" s="3" t="s">
        <v>302</v>
      </c>
      <c r="E61" s="3" t="s">
        <v>70</v>
      </c>
      <c r="F61" s="3" t="s">
        <v>303</v>
      </c>
      <c r="G61" s="3" t="s">
        <v>78</v>
      </c>
      <c r="H61" s="3" t="s">
        <v>172</v>
      </c>
      <c r="I61" s="3" t="s">
        <v>120</v>
      </c>
      <c r="J61" s="3" t="s">
        <v>86</v>
      </c>
    </row>
    <row r="62" ht="14.25" customHeight="1">
      <c r="A62" s="3" t="s">
        <v>304</v>
      </c>
      <c r="B62" s="3" t="s">
        <v>183</v>
      </c>
      <c r="C62" s="3" t="s">
        <v>89</v>
      </c>
      <c r="D62" s="3" t="s">
        <v>305</v>
      </c>
      <c r="E62" s="3" t="s">
        <v>230</v>
      </c>
      <c r="F62" s="3" t="s">
        <v>306</v>
      </c>
      <c r="G62" s="3" t="s">
        <v>118</v>
      </c>
      <c r="H62" s="3" t="s">
        <v>172</v>
      </c>
      <c r="I62" s="3" t="s">
        <v>22</v>
      </c>
      <c r="J62" s="3" t="s">
        <v>23</v>
      </c>
    </row>
    <row r="63" ht="14.25" customHeight="1">
      <c r="A63" s="3" t="s">
        <v>307</v>
      </c>
      <c r="B63" s="3" t="s">
        <v>138</v>
      </c>
      <c r="C63" s="3" t="s">
        <v>108</v>
      </c>
      <c r="D63" s="3" t="s">
        <v>308</v>
      </c>
      <c r="E63" s="3" t="s">
        <v>141</v>
      </c>
      <c r="F63" s="3" t="s">
        <v>309</v>
      </c>
      <c r="G63" s="3" t="s">
        <v>197</v>
      </c>
      <c r="H63" s="3" t="s">
        <v>119</v>
      </c>
      <c r="I63" s="3" t="s">
        <v>7</v>
      </c>
      <c r="J63" s="3" t="s">
        <v>55</v>
      </c>
    </row>
    <row r="64" ht="14.25" customHeight="1">
      <c r="A64" s="3" t="s">
        <v>310</v>
      </c>
      <c r="B64" s="3" t="s">
        <v>95</v>
      </c>
      <c r="C64" s="3" t="s">
        <v>82</v>
      </c>
      <c r="D64" s="3" t="s">
        <v>311</v>
      </c>
      <c r="E64" s="3" t="s">
        <v>98</v>
      </c>
      <c r="F64" s="3" t="s">
        <v>312</v>
      </c>
      <c r="G64" s="3" t="s">
        <v>197</v>
      </c>
      <c r="H64" s="3" t="s">
        <v>79</v>
      </c>
      <c r="I64" s="3" t="s">
        <v>34</v>
      </c>
      <c r="J64" s="3" t="s">
        <v>23</v>
      </c>
    </row>
    <row r="65" ht="14.25" customHeight="1">
      <c r="A65" s="3" t="s">
        <v>313</v>
      </c>
      <c r="B65" s="3" t="s">
        <v>183</v>
      </c>
      <c r="C65" s="3" t="s">
        <v>75</v>
      </c>
      <c r="D65" s="3" t="s">
        <v>314</v>
      </c>
      <c r="E65" s="3" t="s">
        <v>195</v>
      </c>
      <c r="F65" s="3" t="s">
        <v>315</v>
      </c>
      <c r="G65" s="3" t="s">
        <v>143</v>
      </c>
      <c r="H65" s="3" t="s">
        <v>119</v>
      </c>
      <c r="I65" s="3" t="s">
        <v>7</v>
      </c>
      <c r="J65" s="3" t="s">
        <v>23</v>
      </c>
    </row>
    <row r="66" ht="14.25" customHeight="1">
      <c r="A66" s="3" t="s">
        <v>316</v>
      </c>
      <c r="B66" s="3" t="s">
        <v>88</v>
      </c>
      <c r="C66" s="3" t="s">
        <v>139</v>
      </c>
      <c r="D66" s="3" t="s">
        <v>317</v>
      </c>
      <c r="E66" s="3" t="s">
        <v>191</v>
      </c>
      <c r="F66" s="3" t="s">
        <v>318</v>
      </c>
      <c r="G66" s="3" t="s">
        <v>26</v>
      </c>
      <c r="H66" s="3" t="s">
        <v>79</v>
      </c>
      <c r="I66" s="3" t="s">
        <v>22</v>
      </c>
      <c r="J66" s="3" t="s">
        <v>101</v>
      </c>
    </row>
    <row r="67" ht="14.25" customHeight="1">
      <c r="A67" s="3" t="s">
        <v>319</v>
      </c>
      <c r="B67" s="3" t="s">
        <v>45</v>
      </c>
      <c r="C67" s="3" t="s">
        <v>104</v>
      </c>
      <c r="D67" s="3" t="s">
        <v>320</v>
      </c>
      <c r="E67" s="3" t="s">
        <v>70</v>
      </c>
      <c r="F67" s="3" t="s">
        <v>321</v>
      </c>
      <c r="G67" s="3" t="s">
        <v>78</v>
      </c>
      <c r="H67" s="3" t="s">
        <v>79</v>
      </c>
      <c r="I67" s="3" t="s">
        <v>34</v>
      </c>
      <c r="J67" s="3" t="s">
        <v>101</v>
      </c>
    </row>
    <row r="68" ht="14.25" customHeight="1">
      <c r="A68" s="3" t="s">
        <v>322</v>
      </c>
      <c r="B68" s="3" t="s">
        <v>45</v>
      </c>
      <c r="C68" s="3" t="s">
        <v>199</v>
      </c>
      <c r="D68" s="3" t="s">
        <v>323</v>
      </c>
      <c r="E68" s="3" t="s">
        <v>71</v>
      </c>
      <c r="F68" s="3" t="s">
        <v>324</v>
      </c>
      <c r="G68" s="3" t="s">
        <v>143</v>
      </c>
      <c r="H68" s="3" t="s">
        <v>85</v>
      </c>
      <c r="I68" s="3" t="s">
        <v>120</v>
      </c>
      <c r="J68" s="3" t="s">
        <v>86</v>
      </c>
    </row>
    <row r="69" ht="14.25" customHeight="1">
      <c r="A69" s="3" t="s">
        <v>325</v>
      </c>
      <c r="B69" s="3" t="s">
        <v>74</v>
      </c>
      <c r="C69" s="3" t="s">
        <v>75</v>
      </c>
      <c r="D69" s="3" t="s">
        <v>326</v>
      </c>
      <c r="E69" s="3" t="s">
        <v>156</v>
      </c>
      <c r="F69" s="3" t="s">
        <v>327</v>
      </c>
      <c r="G69" s="3" t="s">
        <v>37</v>
      </c>
      <c r="H69" s="3" t="s">
        <v>79</v>
      </c>
      <c r="I69" s="3" t="s">
        <v>168</v>
      </c>
      <c r="J69" s="3" t="s">
        <v>31</v>
      </c>
    </row>
    <row r="70" ht="14.25" customHeight="1">
      <c r="A70" s="3" t="s">
        <v>328</v>
      </c>
      <c r="B70" s="3" t="s">
        <v>24</v>
      </c>
      <c r="C70" s="3" t="s">
        <v>89</v>
      </c>
      <c r="D70" s="3" t="s">
        <v>329</v>
      </c>
      <c r="E70" s="3" t="s">
        <v>25</v>
      </c>
      <c r="F70" s="3" t="s">
        <v>330</v>
      </c>
      <c r="G70" s="3" t="s">
        <v>29</v>
      </c>
      <c r="H70" s="3" t="s">
        <v>85</v>
      </c>
      <c r="I70" s="3" t="s">
        <v>100</v>
      </c>
      <c r="J70" s="3" t="s">
        <v>31</v>
      </c>
    </row>
    <row r="71" ht="14.25" customHeight="1">
      <c r="A71" s="3" t="s">
        <v>331</v>
      </c>
      <c r="B71" s="3" t="s">
        <v>56</v>
      </c>
      <c r="C71" s="3" t="s">
        <v>162</v>
      </c>
      <c r="D71" s="3" t="s">
        <v>332</v>
      </c>
      <c r="E71" s="3" t="s">
        <v>57</v>
      </c>
      <c r="F71" s="3" t="s">
        <v>333</v>
      </c>
      <c r="G71" s="3" t="s">
        <v>26</v>
      </c>
      <c r="H71" s="3" t="s">
        <v>172</v>
      </c>
      <c r="I71" s="3" t="s">
        <v>34</v>
      </c>
      <c r="J71" s="3" t="s">
        <v>55</v>
      </c>
    </row>
    <row r="72" ht="14.25" customHeight="1">
      <c r="A72" s="3" t="s">
        <v>334</v>
      </c>
      <c r="B72" s="3" t="s">
        <v>45</v>
      </c>
      <c r="C72" s="3" t="s">
        <v>89</v>
      </c>
      <c r="D72" s="3" t="s">
        <v>335</v>
      </c>
      <c r="E72" s="3" t="s">
        <v>131</v>
      </c>
      <c r="F72" s="3" t="s">
        <v>336</v>
      </c>
      <c r="G72" s="3" t="s">
        <v>54</v>
      </c>
      <c r="H72" s="3" t="s">
        <v>113</v>
      </c>
      <c r="I72" s="3" t="s">
        <v>168</v>
      </c>
      <c r="J72" s="3" t="s">
        <v>86</v>
      </c>
    </row>
    <row r="73" ht="14.25" customHeight="1">
      <c r="A73" s="3" t="s">
        <v>337</v>
      </c>
      <c r="B73" s="3" t="s">
        <v>45</v>
      </c>
      <c r="C73" s="3" t="s">
        <v>89</v>
      </c>
      <c r="D73" s="3" t="s">
        <v>338</v>
      </c>
      <c r="E73" s="3" t="s">
        <v>131</v>
      </c>
      <c r="F73" s="3" t="s">
        <v>339</v>
      </c>
      <c r="G73" s="3" t="s">
        <v>29</v>
      </c>
      <c r="H73" s="3" t="s">
        <v>172</v>
      </c>
      <c r="I73" s="3" t="s">
        <v>93</v>
      </c>
      <c r="J73" s="3" t="s">
        <v>80</v>
      </c>
    </row>
    <row r="74" ht="14.25" customHeight="1">
      <c r="A74" s="3" t="s">
        <v>340</v>
      </c>
      <c r="B74" s="3" t="s">
        <v>103</v>
      </c>
      <c r="C74" s="3" t="s">
        <v>139</v>
      </c>
      <c r="D74" s="3" t="s">
        <v>341</v>
      </c>
      <c r="E74" s="3" t="s">
        <v>342</v>
      </c>
      <c r="F74" s="3" t="s">
        <v>343</v>
      </c>
      <c r="G74" s="3" t="s">
        <v>54</v>
      </c>
      <c r="H74" s="3" t="s">
        <v>119</v>
      </c>
      <c r="I74" s="3" t="s">
        <v>22</v>
      </c>
      <c r="J74" s="3" t="s">
        <v>55</v>
      </c>
    </row>
    <row r="75" ht="14.25" customHeight="1">
      <c r="A75" s="3" t="s">
        <v>344</v>
      </c>
      <c r="B75" s="3" t="s">
        <v>45</v>
      </c>
      <c r="C75" s="3" t="s">
        <v>75</v>
      </c>
      <c r="D75" s="3" t="s">
        <v>345</v>
      </c>
      <c r="E75" s="3" t="s">
        <v>131</v>
      </c>
      <c r="F75" s="3" t="s">
        <v>346</v>
      </c>
      <c r="G75" s="3" t="s">
        <v>26</v>
      </c>
      <c r="H75" s="3" t="s">
        <v>38</v>
      </c>
      <c r="I75" s="3" t="s">
        <v>7</v>
      </c>
      <c r="J75" s="3" t="s">
        <v>23</v>
      </c>
    </row>
    <row r="76" ht="14.25" customHeight="1">
      <c r="A76" s="3" t="s">
        <v>347</v>
      </c>
      <c r="B76" s="3" t="s">
        <v>95</v>
      </c>
      <c r="C76" s="3" t="s">
        <v>89</v>
      </c>
      <c r="D76" s="3" t="s">
        <v>348</v>
      </c>
      <c r="E76" s="3" t="s">
        <v>68</v>
      </c>
      <c r="F76" s="3" t="s">
        <v>349</v>
      </c>
      <c r="G76" s="3" t="s">
        <v>118</v>
      </c>
      <c r="H76" s="3" t="s">
        <v>85</v>
      </c>
      <c r="I76" s="3" t="s">
        <v>93</v>
      </c>
      <c r="J76" s="3" t="s">
        <v>31</v>
      </c>
    </row>
    <row r="77" ht="14.25" customHeight="1">
      <c r="A77" s="3" t="s">
        <v>350</v>
      </c>
      <c r="B77" s="3" t="s">
        <v>45</v>
      </c>
      <c r="C77" s="3" t="s">
        <v>162</v>
      </c>
      <c r="D77" s="3" t="s">
        <v>351</v>
      </c>
      <c r="E77" s="3" t="s">
        <v>71</v>
      </c>
      <c r="F77" s="3" t="s">
        <v>352</v>
      </c>
      <c r="G77" s="3" t="s">
        <v>26</v>
      </c>
      <c r="H77" s="3" t="s">
        <v>113</v>
      </c>
      <c r="I77" s="3" t="s">
        <v>93</v>
      </c>
      <c r="J77" s="3" t="s">
        <v>86</v>
      </c>
    </row>
    <row r="78" ht="14.25" customHeight="1">
      <c r="A78" s="3" t="s">
        <v>353</v>
      </c>
      <c r="B78" s="3" t="s">
        <v>103</v>
      </c>
      <c r="C78" s="3" t="s">
        <v>82</v>
      </c>
      <c r="D78" s="3" t="s">
        <v>354</v>
      </c>
      <c r="E78" s="3" t="s">
        <v>36</v>
      </c>
      <c r="F78" s="3" t="s">
        <v>355</v>
      </c>
      <c r="G78" s="3" t="s">
        <v>118</v>
      </c>
      <c r="H78" s="3" t="s">
        <v>38</v>
      </c>
      <c r="I78" s="3" t="s">
        <v>120</v>
      </c>
      <c r="J78" s="3" t="s">
        <v>23</v>
      </c>
    </row>
    <row r="79" ht="14.25" customHeight="1">
      <c r="A79" s="3" t="s">
        <v>356</v>
      </c>
      <c r="B79" s="3" t="s">
        <v>74</v>
      </c>
      <c r="C79" s="3" t="s">
        <v>139</v>
      </c>
      <c r="D79" s="3" t="s">
        <v>357</v>
      </c>
      <c r="E79" s="3" t="s">
        <v>116</v>
      </c>
      <c r="F79" s="3" t="s">
        <v>358</v>
      </c>
      <c r="G79" s="3" t="s">
        <v>197</v>
      </c>
      <c r="H79" s="3" t="s">
        <v>172</v>
      </c>
      <c r="I79" s="3" t="s">
        <v>120</v>
      </c>
      <c r="J79" s="3" t="s">
        <v>55</v>
      </c>
    </row>
    <row r="80" ht="14.25" customHeight="1">
      <c r="A80" s="3" t="s">
        <v>359</v>
      </c>
      <c r="B80" s="3" t="s">
        <v>183</v>
      </c>
      <c r="C80" s="3" t="s">
        <v>75</v>
      </c>
      <c r="D80" s="3" t="s">
        <v>360</v>
      </c>
      <c r="E80" s="3" t="s">
        <v>195</v>
      </c>
      <c r="F80" s="3" t="s">
        <v>361</v>
      </c>
      <c r="G80" s="3" t="s">
        <v>112</v>
      </c>
      <c r="H80" s="3" t="s">
        <v>128</v>
      </c>
      <c r="I80" s="3" t="s">
        <v>120</v>
      </c>
      <c r="J80" s="3" t="s">
        <v>55</v>
      </c>
    </row>
    <row r="81" ht="14.25" customHeight="1">
      <c r="A81" s="3" t="s">
        <v>362</v>
      </c>
      <c r="B81" s="3" t="s">
        <v>56</v>
      </c>
      <c r="C81" s="3" t="s">
        <v>199</v>
      </c>
      <c r="D81" s="3" t="s">
        <v>363</v>
      </c>
      <c r="E81" s="3" t="s">
        <v>240</v>
      </c>
      <c r="F81" s="3" t="s">
        <v>364</v>
      </c>
      <c r="G81" s="3" t="s">
        <v>143</v>
      </c>
      <c r="H81" s="3" t="s">
        <v>79</v>
      </c>
      <c r="I81" s="3" t="s">
        <v>22</v>
      </c>
      <c r="J81" s="3" t="s">
        <v>101</v>
      </c>
    </row>
    <row r="82" ht="14.25" customHeight="1">
      <c r="A82" s="3" t="s">
        <v>365</v>
      </c>
      <c r="B82" s="3" t="s">
        <v>45</v>
      </c>
      <c r="C82" s="3" t="s">
        <v>75</v>
      </c>
      <c r="D82" s="3" t="s">
        <v>366</v>
      </c>
      <c r="E82" s="3" t="s">
        <v>226</v>
      </c>
      <c r="F82" s="3" t="s">
        <v>367</v>
      </c>
      <c r="G82" s="3" t="s">
        <v>118</v>
      </c>
      <c r="H82" s="3" t="s">
        <v>172</v>
      </c>
      <c r="I82" s="3" t="s">
        <v>22</v>
      </c>
      <c r="J82" s="3" t="s">
        <v>31</v>
      </c>
    </row>
    <row r="83" ht="14.25" customHeight="1">
      <c r="A83" s="3" t="s">
        <v>368</v>
      </c>
      <c r="B83" s="3" t="s">
        <v>95</v>
      </c>
      <c r="C83" s="3" t="s">
        <v>139</v>
      </c>
      <c r="D83" s="3" t="s">
        <v>369</v>
      </c>
      <c r="E83" s="3" t="s">
        <v>68</v>
      </c>
      <c r="F83" s="3" t="s">
        <v>370</v>
      </c>
      <c r="G83" s="3" t="s">
        <v>47</v>
      </c>
      <c r="H83" s="3" t="s">
        <v>85</v>
      </c>
      <c r="I83" s="3" t="s">
        <v>30</v>
      </c>
      <c r="J83" s="3" t="s">
        <v>23</v>
      </c>
    </row>
    <row r="84" ht="14.25" customHeight="1">
      <c r="A84" s="3" t="s">
        <v>371</v>
      </c>
      <c r="B84" s="3" t="s">
        <v>138</v>
      </c>
      <c r="C84" s="3" t="s">
        <v>82</v>
      </c>
      <c r="D84" s="3" t="s">
        <v>372</v>
      </c>
      <c r="E84" s="3" t="s">
        <v>62</v>
      </c>
      <c r="F84" s="3" t="s">
        <v>373</v>
      </c>
      <c r="G84" s="3" t="s">
        <v>54</v>
      </c>
      <c r="H84" s="3" t="s">
        <v>38</v>
      </c>
      <c r="I84" s="3" t="s">
        <v>168</v>
      </c>
      <c r="J84" s="3" t="s">
        <v>31</v>
      </c>
    </row>
    <row r="85" ht="14.25" customHeight="1">
      <c r="A85" s="3" t="s">
        <v>374</v>
      </c>
      <c r="B85" s="3" t="s">
        <v>138</v>
      </c>
      <c r="C85" s="3" t="s">
        <v>139</v>
      </c>
      <c r="D85" s="3" t="s">
        <v>375</v>
      </c>
      <c r="E85" s="3" t="s">
        <v>62</v>
      </c>
      <c r="F85" s="3" t="s">
        <v>376</v>
      </c>
      <c r="G85" s="3" t="s">
        <v>47</v>
      </c>
      <c r="H85" s="3" t="s">
        <v>172</v>
      </c>
      <c r="I85" s="3" t="s">
        <v>93</v>
      </c>
      <c r="J85" s="3" t="s">
        <v>101</v>
      </c>
    </row>
    <row r="86" ht="14.25" customHeight="1">
      <c r="A86" s="3" t="s">
        <v>377</v>
      </c>
      <c r="B86" s="3" t="s">
        <v>88</v>
      </c>
      <c r="C86" s="3" t="s">
        <v>104</v>
      </c>
      <c r="D86" s="3" t="s">
        <v>378</v>
      </c>
      <c r="E86" s="3" t="s">
        <v>91</v>
      </c>
      <c r="F86" s="3" t="s">
        <v>379</v>
      </c>
      <c r="G86" s="3" t="s">
        <v>197</v>
      </c>
      <c r="H86" s="3" t="s">
        <v>113</v>
      </c>
      <c r="I86" s="3" t="s">
        <v>30</v>
      </c>
      <c r="J86" s="3" t="s">
        <v>55</v>
      </c>
    </row>
    <row r="87" ht="14.25" customHeight="1">
      <c r="A87" s="3" t="s">
        <v>380</v>
      </c>
      <c r="B87" s="3" t="s">
        <v>24</v>
      </c>
      <c r="C87" s="3" t="s">
        <v>82</v>
      </c>
      <c r="D87" s="3" t="s">
        <v>381</v>
      </c>
      <c r="E87" s="3" t="s">
        <v>296</v>
      </c>
      <c r="F87" s="3" t="s">
        <v>382</v>
      </c>
      <c r="G87" s="3" t="s">
        <v>29</v>
      </c>
      <c r="H87" s="3" t="s">
        <v>85</v>
      </c>
      <c r="I87" s="3" t="s">
        <v>120</v>
      </c>
      <c r="J87" s="3" t="s">
        <v>23</v>
      </c>
    </row>
    <row r="88" ht="14.25" customHeight="1">
      <c r="A88" s="3" t="s">
        <v>383</v>
      </c>
      <c r="B88" s="3" t="s">
        <v>95</v>
      </c>
      <c r="C88" s="3" t="s">
        <v>104</v>
      </c>
      <c r="D88" s="3" t="s">
        <v>384</v>
      </c>
      <c r="E88" s="3" t="s">
        <v>67</v>
      </c>
      <c r="F88" s="3" t="s">
        <v>385</v>
      </c>
      <c r="G88" s="3" t="s">
        <v>112</v>
      </c>
      <c r="H88" s="3" t="s">
        <v>38</v>
      </c>
      <c r="I88" s="3" t="s">
        <v>30</v>
      </c>
      <c r="J88" s="3" t="s">
        <v>55</v>
      </c>
    </row>
    <row r="89" ht="14.25" customHeight="1">
      <c r="A89" s="3" t="s">
        <v>386</v>
      </c>
      <c r="B89" s="3" t="s">
        <v>74</v>
      </c>
      <c r="C89" s="3" t="s">
        <v>75</v>
      </c>
      <c r="D89" s="3" t="s">
        <v>387</v>
      </c>
      <c r="E89" s="3" t="s">
        <v>63</v>
      </c>
      <c r="F89" s="3" t="s">
        <v>388</v>
      </c>
      <c r="G89" s="3" t="s">
        <v>26</v>
      </c>
      <c r="H89" s="3" t="s">
        <v>119</v>
      </c>
      <c r="I89" s="3" t="s">
        <v>7</v>
      </c>
      <c r="J89" s="3" t="s">
        <v>31</v>
      </c>
    </row>
    <row r="90" ht="14.25" customHeight="1">
      <c r="A90" s="3" t="s">
        <v>389</v>
      </c>
      <c r="B90" s="3" t="s">
        <v>45</v>
      </c>
      <c r="C90" s="3" t="s">
        <v>199</v>
      </c>
      <c r="D90" s="3" t="s">
        <v>390</v>
      </c>
      <c r="E90" s="3" t="s">
        <v>70</v>
      </c>
      <c r="F90" s="3" t="s">
        <v>391</v>
      </c>
      <c r="G90" s="3" t="s">
        <v>143</v>
      </c>
      <c r="H90" s="3" t="s">
        <v>38</v>
      </c>
      <c r="I90" s="3" t="s">
        <v>168</v>
      </c>
      <c r="J90" s="3" t="s">
        <v>80</v>
      </c>
    </row>
    <row r="91" ht="14.25" customHeight="1">
      <c r="A91" s="3" t="s">
        <v>392</v>
      </c>
      <c r="B91" s="3" t="s">
        <v>95</v>
      </c>
      <c r="C91" s="3" t="s">
        <v>139</v>
      </c>
      <c r="D91" s="3" t="s">
        <v>393</v>
      </c>
      <c r="E91" s="3" t="s">
        <v>67</v>
      </c>
      <c r="F91" s="3" t="s">
        <v>394</v>
      </c>
      <c r="G91" s="3" t="s">
        <v>143</v>
      </c>
      <c r="H91" s="3" t="s">
        <v>79</v>
      </c>
      <c r="I91" s="3" t="s">
        <v>120</v>
      </c>
      <c r="J91" s="3" t="s">
        <v>101</v>
      </c>
    </row>
    <row r="92" ht="14.25" customHeight="1">
      <c r="A92" s="3" t="s">
        <v>395</v>
      </c>
      <c r="B92" s="3" t="s">
        <v>88</v>
      </c>
      <c r="C92" s="3" t="s">
        <v>125</v>
      </c>
      <c r="D92" s="3" t="s">
        <v>396</v>
      </c>
      <c r="E92" s="3" t="s">
        <v>43</v>
      </c>
      <c r="F92" s="3" t="s">
        <v>397</v>
      </c>
      <c r="G92" s="3" t="s">
        <v>143</v>
      </c>
      <c r="H92" s="3" t="s">
        <v>79</v>
      </c>
      <c r="I92" s="3" t="s">
        <v>34</v>
      </c>
      <c r="J92" s="3" t="s">
        <v>23</v>
      </c>
    </row>
    <row r="93" ht="14.25" customHeight="1">
      <c r="A93" s="3" t="s">
        <v>398</v>
      </c>
      <c r="B93" s="3" t="s">
        <v>74</v>
      </c>
      <c r="C93" s="3" t="s">
        <v>199</v>
      </c>
      <c r="D93" s="3" t="s">
        <v>399</v>
      </c>
      <c r="E93" s="3" t="s">
        <v>63</v>
      </c>
      <c r="F93" s="3" t="s">
        <v>400</v>
      </c>
      <c r="G93" s="3" t="s">
        <v>37</v>
      </c>
      <c r="H93" s="3" t="s">
        <v>38</v>
      </c>
      <c r="I93" s="3" t="s">
        <v>34</v>
      </c>
      <c r="J93" s="3" t="s">
        <v>55</v>
      </c>
    </row>
    <row r="94" ht="14.25" customHeight="1">
      <c r="A94" s="3" t="s">
        <v>401</v>
      </c>
      <c r="B94" s="3" t="s">
        <v>45</v>
      </c>
      <c r="C94" s="3" t="s">
        <v>75</v>
      </c>
      <c r="D94" s="3" t="s">
        <v>402</v>
      </c>
      <c r="E94" s="3" t="s">
        <v>71</v>
      </c>
      <c r="F94" s="3" t="s">
        <v>403</v>
      </c>
      <c r="G94" s="3" t="s">
        <v>26</v>
      </c>
      <c r="H94" s="3" t="s">
        <v>21</v>
      </c>
      <c r="I94" s="3" t="s">
        <v>100</v>
      </c>
      <c r="J94" s="3" t="s">
        <v>86</v>
      </c>
    </row>
    <row r="95" ht="14.25" customHeight="1">
      <c r="A95" s="3" t="s">
        <v>404</v>
      </c>
      <c r="B95" s="3" t="s">
        <v>24</v>
      </c>
      <c r="C95" s="3" t="s">
        <v>75</v>
      </c>
      <c r="D95" s="3" t="s">
        <v>405</v>
      </c>
      <c r="E95" s="3" t="s">
        <v>296</v>
      </c>
      <c r="F95" s="3" t="s">
        <v>406</v>
      </c>
      <c r="G95" s="3" t="s">
        <v>197</v>
      </c>
      <c r="H95" s="3" t="s">
        <v>85</v>
      </c>
      <c r="I95" s="3" t="s">
        <v>22</v>
      </c>
      <c r="J95" s="3" t="s">
        <v>55</v>
      </c>
    </row>
    <row r="96" ht="14.25" customHeight="1">
      <c r="A96" s="3" t="s">
        <v>407</v>
      </c>
      <c r="B96" s="3" t="s">
        <v>183</v>
      </c>
      <c r="C96" s="3" t="s">
        <v>199</v>
      </c>
      <c r="D96" s="3" t="s">
        <v>408</v>
      </c>
      <c r="E96" s="3" t="s">
        <v>230</v>
      </c>
      <c r="F96" s="3" t="s">
        <v>409</v>
      </c>
      <c r="G96" s="3" t="s">
        <v>37</v>
      </c>
      <c r="H96" s="3" t="s">
        <v>113</v>
      </c>
      <c r="I96" s="3" t="s">
        <v>93</v>
      </c>
      <c r="J96" s="3" t="s">
        <v>55</v>
      </c>
    </row>
    <row r="97" ht="14.25" customHeight="1">
      <c r="A97" s="3" t="s">
        <v>410</v>
      </c>
      <c r="B97" s="3" t="s">
        <v>56</v>
      </c>
      <c r="C97" s="3" t="s">
        <v>162</v>
      </c>
      <c r="D97" s="3" t="s">
        <v>411</v>
      </c>
      <c r="E97" s="3" t="s">
        <v>66</v>
      </c>
      <c r="F97" s="3" t="s">
        <v>412</v>
      </c>
      <c r="G97" s="3" t="s">
        <v>118</v>
      </c>
      <c r="H97" s="3" t="s">
        <v>172</v>
      </c>
      <c r="I97" s="3" t="s">
        <v>7</v>
      </c>
      <c r="J97" s="3" t="s">
        <v>80</v>
      </c>
    </row>
    <row r="98" ht="14.25" customHeight="1">
      <c r="A98" s="3" t="s">
        <v>413</v>
      </c>
      <c r="B98" s="3" t="s">
        <v>148</v>
      </c>
      <c r="C98" s="3" t="s">
        <v>104</v>
      </c>
      <c r="D98" s="3" t="s">
        <v>414</v>
      </c>
      <c r="E98" s="3" t="s">
        <v>415</v>
      </c>
      <c r="F98" s="3" t="s">
        <v>416</v>
      </c>
      <c r="G98" s="3" t="s">
        <v>112</v>
      </c>
      <c r="H98" s="3" t="s">
        <v>38</v>
      </c>
      <c r="I98" s="3" t="s">
        <v>168</v>
      </c>
      <c r="J98" s="3" t="s">
        <v>31</v>
      </c>
    </row>
    <row r="99" ht="14.25" customHeight="1">
      <c r="A99" s="3" t="s">
        <v>417</v>
      </c>
      <c r="B99" s="3" t="s">
        <v>183</v>
      </c>
      <c r="C99" s="3" t="s">
        <v>139</v>
      </c>
      <c r="D99" s="3" t="s">
        <v>418</v>
      </c>
      <c r="E99" s="3" t="s">
        <v>72</v>
      </c>
      <c r="F99" s="3" t="s">
        <v>419</v>
      </c>
      <c r="G99" s="3" t="s">
        <v>47</v>
      </c>
      <c r="H99" s="3" t="s">
        <v>85</v>
      </c>
      <c r="I99" s="3" t="s">
        <v>120</v>
      </c>
      <c r="J99" s="3" t="s">
        <v>80</v>
      </c>
    </row>
    <row r="100" ht="14.25" customHeight="1">
      <c r="A100" s="3" t="s">
        <v>420</v>
      </c>
      <c r="B100" s="3" t="s">
        <v>45</v>
      </c>
      <c r="C100" s="3" t="s">
        <v>89</v>
      </c>
      <c r="D100" s="3" t="s">
        <v>421</v>
      </c>
      <c r="E100" s="3" t="s">
        <v>131</v>
      </c>
      <c r="F100" s="3" t="s">
        <v>422</v>
      </c>
      <c r="G100" s="3" t="s">
        <v>54</v>
      </c>
      <c r="H100" s="3" t="s">
        <v>172</v>
      </c>
      <c r="I100" s="3" t="s">
        <v>30</v>
      </c>
      <c r="J100" s="3" t="s">
        <v>86</v>
      </c>
    </row>
    <row r="101" ht="14.25" customHeight="1">
      <c r="A101" s="3" t="s">
        <v>423</v>
      </c>
      <c r="B101" s="3" t="s">
        <v>56</v>
      </c>
      <c r="C101" s="3" t="s">
        <v>96</v>
      </c>
      <c r="D101" s="3" t="s">
        <v>424</v>
      </c>
      <c r="E101" s="3" t="s">
        <v>425</v>
      </c>
      <c r="F101" s="3" t="s">
        <v>426</v>
      </c>
      <c r="G101" s="3" t="s">
        <v>47</v>
      </c>
      <c r="H101" s="3" t="s">
        <v>172</v>
      </c>
      <c r="I101" s="3" t="s">
        <v>100</v>
      </c>
      <c r="J101" s="3" t="s">
        <v>101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2026-04-01T15:05:26Z</dcterms:created>
  <dc:creator>openpyxl</dc:creator>
</cp:coreProperties>
</file>