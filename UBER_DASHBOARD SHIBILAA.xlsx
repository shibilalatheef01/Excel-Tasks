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28135DBA-CC68-4289-A2C3-3E3482A95AE1}" xr6:coauthVersionLast="47" xr6:coauthVersionMax="47" xr10:uidLastSave="{00000000-0000-0000-0000-000000000000}"/>
  <bookViews>
    <workbookView xWindow="-120" yWindow="-120" windowWidth="20730" windowHeight="11160" activeTab="2" xr2:uid="{6E8D716A-CC3D-47EE-B9C5-99AF7377E2B0}"/>
  </bookViews>
  <sheets>
    <sheet name="Sheet1" sheetId="3" r:id="rId1"/>
    <sheet name="DASHBOARD" sheetId="1" r:id="rId2"/>
    <sheet name="Sheet3" sheetId="5" r:id="rId3"/>
    <sheet name="CONTENTS" sheetId="2" r:id="rId4"/>
  </sheets>
  <definedNames>
    <definedName name="Slicer_City">#N/A</definedName>
    <definedName name="Slicer_Date">#N/A</definedName>
    <definedName name="Slicer_Payment_Mode">#N/A</definedName>
    <definedName name="Slicer_Vehicle_Type">#N/A</definedName>
    <definedName name="Slicer_Vehicle_Type1">#N/A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2" l="1"/>
  <c r="C5" i="2"/>
  <c r="C4" i="2"/>
  <c r="C3" i="2"/>
  <c r="C2" i="2"/>
</calcChain>
</file>

<file path=xl/sharedStrings.xml><?xml version="1.0" encoding="utf-8"?>
<sst xmlns="http://schemas.openxmlformats.org/spreadsheetml/2006/main" count="452" uniqueCount="123">
  <si>
    <t>Ride_ID</t>
  </si>
  <si>
    <t>Date</t>
  </si>
  <si>
    <t>City</t>
  </si>
  <si>
    <t>Vehicle_Type</t>
  </si>
  <si>
    <t>Trip_Type</t>
  </si>
  <si>
    <t>Customer_Type</t>
  </si>
  <si>
    <t>Payment_Mode</t>
  </si>
  <si>
    <t>Distance_KM</t>
  </si>
  <si>
    <t>Fare_INR</t>
  </si>
  <si>
    <t>Discount_INR</t>
  </si>
  <si>
    <t>Driver_Rating</t>
  </si>
  <si>
    <t>Customer_Rating</t>
  </si>
  <si>
    <t>Trip_Duration_Min</t>
  </si>
  <si>
    <t>Status</t>
  </si>
  <si>
    <t>UBR001</t>
  </si>
  <si>
    <t>Bengaluru</t>
  </si>
  <si>
    <t>UberGo</t>
  </si>
  <si>
    <t>Regular</t>
  </si>
  <si>
    <t>UPI</t>
  </si>
  <si>
    <t>Completed</t>
  </si>
  <si>
    <t>UBR002</t>
  </si>
  <si>
    <t>Mumbai</t>
  </si>
  <si>
    <t>New</t>
  </si>
  <si>
    <t>Card</t>
  </si>
  <si>
    <t>UBR003</t>
  </si>
  <si>
    <t>Delhi</t>
  </si>
  <si>
    <t>UberXL</t>
  </si>
  <si>
    <t>Airport</t>
  </si>
  <si>
    <t>UBR004</t>
  </si>
  <si>
    <t>Hyderabad</t>
  </si>
  <si>
    <t>Cash</t>
  </si>
  <si>
    <t>UBR005</t>
  </si>
  <si>
    <t>Chennai</t>
  </si>
  <si>
    <t>Premier</t>
  </si>
  <si>
    <t>Premium</t>
  </si>
  <si>
    <t>UBR006</t>
  </si>
  <si>
    <t>Pune</t>
  </si>
  <si>
    <t>UBR007</t>
  </si>
  <si>
    <t>Auto</t>
  </si>
  <si>
    <t>UBR008</t>
  </si>
  <si>
    <t>UBR009</t>
  </si>
  <si>
    <t>UBR010</t>
  </si>
  <si>
    <t>Kochi</t>
  </si>
  <si>
    <t>UBR011</t>
  </si>
  <si>
    <t>UBR012</t>
  </si>
  <si>
    <t>UBR013</t>
  </si>
  <si>
    <t>UBR014</t>
  </si>
  <si>
    <t>UBR015</t>
  </si>
  <si>
    <t>UBR016</t>
  </si>
  <si>
    <t>UBR017</t>
  </si>
  <si>
    <t>Cancelled</t>
  </si>
  <si>
    <t>UBR018</t>
  </si>
  <si>
    <t>UBR019</t>
  </si>
  <si>
    <t>UBR020</t>
  </si>
  <si>
    <t>UBR021</t>
  </si>
  <si>
    <t>UBR022</t>
  </si>
  <si>
    <t>UBR023</t>
  </si>
  <si>
    <t>UBR024</t>
  </si>
  <si>
    <t>UBR025</t>
  </si>
  <si>
    <t>UBR026</t>
  </si>
  <si>
    <t>UBR027</t>
  </si>
  <si>
    <t>UBR028</t>
  </si>
  <si>
    <t>UBR029</t>
  </si>
  <si>
    <t>UBR030</t>
  </si>
  <si>
    <t>UBR031</t>
  </si>
  <si>
    <t>UBR032</t>
  </si>
  <si>
    <t>UBR033</t>
  </si>
  <si>
    <t>UBR034</t>
  </si>
  <si>
    <t>UBR035</t>
  </si>
  <si>
    <t>UBR036</t>
  </si>
  <si>
    <t>UBR037</t>
  </si>
  <si>
    <t>UBR038</t>
  </si>
  <si>
    <t>UBR039</t>
  </si>
  <si>
    <t>UBR040</t>
  </si>
  <si>
    <t>UBR041</t>
  </si>
  <si>
    <t>UBR042</t>
  </si>
  <si>
    <t>UBR043</t>
  </si>
  <si>
    <t>UBR044</t>
  </si>
  <si>
    <t>UBR045</t>
  </si>
  <si>
    <t>UBR046</t>
  </si>
  <si>
    <t>UBR047</t>
  </si>
  <si>
    <t>UBR048</t>
  </si>
  <si>
    <t>UBR049</t>
  </si>
  <si>
    <t>UBR050</t>
  </si>
  <si>
    <t>KPI</t>
  </si>
  <si>
    <t>Calculation</t>
  </si>
  <si>
    <t>Total Rides</t>
  </si>
  <si>
    <t>Count of Ride_ID</t>
  </si>
  <si>
    <t>Completed Rides</t>
  </si>
  <si>
    <t>Count where Status = Completed</t>
  </si>
  <si>
    <t>Total Revenue</t>
  </si>
  <si>
    <t>Sum of Fare_INR</t>
  </si>
  <si>
    <t>Average Fare</t>
  </si>
  <si>
    <t>Average of Fare_INR</t>
  </si>
  <si>
    <t>Average Customer Rating</t>
  </si>
  <si>
    <t>Average of Customer_Rating</t>
  </si>
  <si>
    <t>Chart</t>
  </si>
  <si>
    <t>Fields</t>
  </si>
  <si>
    <t>Revenue by City</t>
  </si>
  <si>
    <t>City + Fare</t>
  </si>
  <si>
    <t>Rides by Vehicle Type</t>
  </si>
  <si>
    <t>Vehicle_Type + Count of Ride_ID</t>
  </si>
  <si>
    <t>Daily Revenue Trend</t>
  </si>
  <si>
    <t>Date + Fare</t>
  </si>
  <si>
    <t>Payment Mode Distribution</t>
  </si>
  <si>
    <t>Payment_Mode + Count of Ride_ID</t>
  </si>
  <si>
    <t>Revenue by Trip Type</t>
  </si>
  <si>
    <t>Trip_Type + Fare</t>
  </si>
  <si>
    <t>Customer Type Distribution</t>
  </si>
  <si>
    <t>Customer_Type + Count of Ride_ID</t>
  </si>
  <si>
    <t>Average Rating by Vehicle</t>
  </si>
  <si>
    <t>Vehicle_Type + Customer_Rating</t>
  </si>
  <si>
    <t>Completed vs Cancelled</t>
  </si>
  <si>
    <t>Status + Count of Ride_ID</t>
  </si>
  <si>
    <t>Recommended Slicers</t>
  </si>
  <si>
    <t>Vehicle Type</t>
  </si>
  <si>
    <t>Trip Type</t>
  </si>
  <si>
    <t>Customer Type</t>
  </si>
  <si>
    <t>Payment Mode</t>
  </si>
  <si>
    <t>ANSWER</t>
  </si>
  <si>
    <t>Row Labels</t>
  </si>
  <si>
    <t>Grand Total</t>
  </si>
  <si>
    <t>Sum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</si>
</sst>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theme="5" tint="0.59999389629810485"/>
        <bgColor indexed="64"/>
      </patternFill>
    </fill>
    <fill>
      <patternFill patternType="solid">
        <fgColor rgb="FFFFC000"/>
        <bgColor indexed="64"/>
      </patternFill>
    </fill>
    <fill>
      <patternFill patternType="solid">
        <fgColor theme="5"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2" borderId="1" xfId="0" applyFont="1" applyFill="1" applyBorder="1" applyAlignment="1">
      <alignment vertical="center"/>
    </xf>
    <xf numFmtId="0" fontId="0" fillId="2" borderId="1" xfId="0" applyFill="1" applyBorder="1" applyAlignment="1">
      <alignment horizontal="left" vertical="center" inden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1" fillId="2" borderId="2" xfId="0" applyFont="1" applyFill="1" applyBorder="1" applyAlignment="1">
      <alignment horizontal="center" vertical="center" wrapText="1"/>
    </xf>
    <xf numFmtId="0" fontId="0" fillId="2" borderId="2" xfId="0" applyFill="1" applyBorder="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17">
    <dxf>
      <border outline="0">
        <left style="thin">
          <color indexed="64"/>
        </left>
      </border>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SHIBILAA.xlsx]Sheet1!PivotTable1</c:name>
    <c:fmtId val="0"/>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t>REVENUE BY CITY</a:t>
            </a:r>
          </a:p>
        </c:rich>
      </c:tx>
      <c:layout>
        <c:manualLayout>
          <c:xMode val="edge"/>
          <c:yMode val="edge"/>
          <c:x val="0.320179406735845"/>
          <c:y val="0.13532560398454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Sheet1!$A$4:$A$11</c:f>
              <c:strCache>
                <c:ptCount val="7"/>
                <c:pt idx="0">
                  <c:v>Bengaluru</c:v>
                </c:pt>
                <c:pt idx="1">
                  <c:v>Chennai</c:v>
                </c:pt>
                <c:pt idx="2">
                  <c:v>Delhi</c:v>
                </c:pt>
                <c:pt idx="3">
                  <c:v>Hyderabad</c:v>
                </c:pt>
                <c:pt idx="4">
                  <c:v>Kochi</c:v>
                </c:pt>
                <c:pt idx="5">
                  <c:v>Mumbai</c:v>
                </c:pt>
                <c:pt idx="6">
                  <c:v>Pune</c:v>
                </c:pt>
              </c:strCache>
            </c:strRef>
          </c:cat>
          <c:val>
            <c:numRef>
              <c:f>Sheet1!$B$4:$B$11</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B7D7-494C-8ABF-79D57D471B1F}"/>
            </c:ext>
          </c:extLst>
        </c:ser>
        <c:dLbls>
          <c:showLegendKey val="0"/>
          <c:showVal val="0"/>
          <c:showCatName val="0"/>
          <c:showSerName val="0"/>
          <c:showPercent val="0"/>
          <c:showBubbleSize val="0"/>
        </c:dLbls>
        <c:gapWidth val="150"/>
        <c:shape val="box"/>
        <c:axId val="991215071"/>
        <c:axId val="957850847"/>
        <c:axId val="0"/>
      </c:bar3DChart>
      <c:catAx>
        <c:axId val="991215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957850847"/>
        <c:crosses val="autoZero"/>
        <c:auto val="1"/>
        <c:lblAlgn val="ctr"/>
        <c:lblOffset val="100"/>
        <c:noMultiLvlLbl val="0"/>
      </c:catAx>
      <c:valAx>
        <c:axId val="95785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99121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SHIBILAA.xlsx]Sheet1!PivotTable4</c:name>
    <c:fmtId val="0"/>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t>PAYMENT</a:t>
            </a:r>
            <a:r>
              <a:rPr lang="en-US" baseline="0"/>
              <a:t> MODE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33-4707-9D7E-1A5DF7B3CB0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33-4707-9D7E-1A5DF7B3CB0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33-4707-9D7E-1A5DF7B3CB01}"/>
              </c:ext>
            </c:extLst>
          </c:dPt>
          <c:cat>
            <c:strRef>
              <c:f>Sheet1!$A$15:$A$18</c:f>
              <c:strCache>
                <c:ptCount val="3"/>
                <c:pt idx="0">
                  <c:v>Card</c:v>
                </c:pt>
                <c:pt idx="1">
                  <c:v>Cash</c:v>
                </c:pt>
                <c:pt idx="2">
                  <c:v>UPI</c:v>
                </c:pt>
              </c:strCache>
            </c:strRef>
          </c:cat>
          <c:val>
            <c:numRef>
              <c:f>Sheet1!$B$15:$B$18</c:f>
              <c:numCache>
                <c:formatCode>General</c:formatCode>
                <c:ptCount val="3"/>
                <c:pt idx="0">
                  <c:v>17</c:v>
                </c:pt>
                <c:pt idx="1">
                  <c:v>10</c:v>
                </c:pt>
                <c:pt idx="2">
                  <c:v>23</c:v>
                </c:pt>
              </c:numCache>
            </c:numRef>
          </c:val>
          <c:extLst>
            <c:ext xmlns:c16="http://schemas.microsoft.com/office/drawing/2014/chart" uri="{C3380CC4-5D6E-409C-BE32-E72D297353CC}">
              <c16:uniqueId val="{00000000-3D42-4B75-825A-CD92FA6B29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SHIBILAA.xlsx]Sheet1!PivotTable5</c:name>
    <c:fmtId val="1"/>
  </c:pivotSource>
  <c:chart>
    <c:title>
      <c:tx>
        <c:rich>
          <a:bodyPr rot="0" spcFirstLastPara="1" vertOverflow="ellipsis" vert="horz" wrap="square" anchor="ctr" anchorCtr="1"/>
          <a:lstStyle/>
          <a:p>
            <a:pPr>
              <a:defRPr sz="1600" b="1" i="0" u="none" strike="noStrike" kern="1200" spc="100" baseline="0">
                <a:solidFill>
                  <a:schemeClr val="accent5"/>
                </a:solidFill>
                <a:effectLst>
                  <a:outerShdw blurRad="50800" dist="38100" dir="5400000" algn="t" rotWithShape="0">
                    <a:prstClr val="black">
                      <a:alpha val="40000"/>
                    </a:prstClr>
                  </a:outerShdw>
                </a:effectLst>
                <a:latin typeface="+mn-lt"/>
                <a:ea typeface="+mn-ea"/>
                <a:cs typeface="+mn-cs"/>
              </a:defRPr>
            </a:pPr>
            <a:r>
              <a:rPr lang="en-US"/>
              <a:t>REVENUE BY TRIP TYPE</a:t>
            </a:r>
          </a:p>
        </c:rich>
      </c:tx>
      <c:layout>
        <c:manualLayout>
          <c:xMode val="edge"/>
          <c:yMode val="edge"/>
          <c:x val="0.15809991795569106"/>
          <c:y val="0.1523412659041193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5"/>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Sheet1!$E$14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7D-42C1-A64E-C0476E2716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7D-42C1-A64E-C0476E271679}"/>
              </c:ext>
            </c:extLst>
          </c:dPt>
          <c:cat>
            <c:strRef>
              <c:f>Sheet1!$D$15:$D$17</c:f>
              <c:strCache>
                <c:ptCount val="2"/>
                <c:pt idx="0">
                  <c:v>Airport</c:v>
                </c:pt>
                <c:pt idx="1">
                  <c:v>City</c:v>
                </c:pt>
              </c:strCache>
            </c:strRef>
          </c:cat>
          <c:val>
            <c:numRef>
              <c:f>Sheet1!$E$15:$E$17</c:f>
              <c:numCache>
                <c:formatCode>General</c:formatCode>
                <c:ptCount val="2"/>
                <c:pt idx="0">
                  <c:v>8400</c:v>
                </c:pt>
                <c:pt idx="1">
                  <c:v>9642</c:v>
                </c:pt>
              </c:numCache>
            </c:numRef>
          </c:val>
          <c:extLst>
            <c:ext xmlns:c16="http://schemas.microsoft.com/office/drawing/2014/chart" uri="{C3380CC4-5D6E-409C-BE32-E72D297353CC}">
              <c16:uniqueId val="{00000000-3300-4995-9AD4-3468342712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a:noFill/>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SHIBILAA.xlsx]Sheet1!PivotTable3</c:name>
    <c:fmtId val="3"/>
  </c:pivotSource>
  <c:chart>
    <c:title>
      <c:tx>
        <c:rich>
          <a:bodyPr rot="0" spcFirstLastPara="1" vertOverflow="ellipsis" vert="horz" wrap="square" anchor="ctr" anchorCtr="1"/>
          <a:lstStyle/>
          <a:p>
            <a:pPr>
              <a:defRPr sz="1800" b="1" i="0" u="none" strike="noStrike" kern="1200" baseline="0">
                <a:solidFill>
                  <a:schemeClr val="accent5"/>
                </a:solidFill>
                <a:latin typeface="+mn-lt"/>
                <a:ea typeface="+mn-ea"/>
                <a:cs typeface="+mn-cs"/>
              </a:defRPr>
            </a:pPr>
            <a:r>
              <a:rPr lang="en-US"/>
              <a:t> DAILY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5"/>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7913973439888"/>
          <c:y val="0.32427127680248141"/>
          <c:w val="0.60495788772672077"/>
          <c:h val="0.2799008999016962"/>
        </c:manualLayout>
      </c:layout>
      <c:lineChart>
        <c:grouping val="standard"/>
        <c:varyColors val="0"/>
        <c:ser>
          <c:idx val="0"/>
          <c:order val="0"/>
          <c:tx>
            <c:strRef>
              <c:f>Sheet1!$H$3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Sheet1!$G$4:$G$13</c:f>
              <c:strCache>
                <c:ptCount val="9"/>
                <c:pt idx="0">
                  <c:v>1-Aug-26</c:v>
                </c:pt>
                <c:pt idx="1">
                  <c:v>2-Aug-26</c:v>
                </c:pt>
                <c:pt idx="2">
                  <c:v>3-Aug-26</c:v>
                </c:pt>
                <c:pt idx="3">
                  <c:v>4-Aug-26</c:v>
                </c:pt>
                <c:pt idx="4">
                  <c:v>5-Aug-26</c:v>
                </c:pt>
                <c:pt idx="5">
                  <c:v>6-Aug-26</c:v>
                </c:pt>
                <c:pt idx="6">
                  <c:v>7-Aug-26</c:v>
                </c:pt>
                <c:pt idx="7">
                  <c:v>8-Aug-26</c:v>
                </c:pt>
                <c:pt idx="8">
                  <c:v>9-Aug-26</c:v>
                </c:pt>
              </c:strCache>
            </c:strRef>
          </c:cat>
          <c:val>
            <c:numRef>
              <c:f>Sheet1!$H$4:$H$13</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DD89-488A-A669-6E85982F13F3}"/>
            </c:ext>
          </c:extLst>
        </c:ser>
        <c:dLbls>
          <c:dLblPos val="ctr"/>
          <c:showLegendKey val="0"/>
          <c:showVal val="1"/>
          <c:showCatName val="0"/>
          <c:showSerName val="0"/>
          <c:showPercent val="0"/>
          <c:showBubbleSize val="0"/>
        </c:dLbls>
        <c:marker val="1"/>
        <c:smooth val="0"/>
        <c:axId val="575134240"/>
        <c:axId val="575135320"/>
      </c:lineChart>
      <c:catAx>
        <c:axId val="5751342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5"/>
                </a:solidFill>
                <a:latin typeface="+mn-lt"/>
                <a:ea typeface="+mn-ea"/>
                <a:cs typeface="+mn-cs"/>
              </a:defRPr>
            </a:pPr>
            <a:endParaRPr lang="en-US"/>
          </a:p>
        </c:txPr>
        <c:crossAx val="575135320"/>
        <c:crosses val="autoZero"/>
        <c:auto val="1"/>
        <c:lblAlgn val="ctr"/>
        <c:lblOffset val="100"/>
        <c:noMultiLvlLbl val="0"/>
      </c:catAx>
      <c:valAx>
        <c:axId val="575135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51342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SHIBILAA.xlsx]Sheet1!PivotTable6</c:name>
    <c:fmtId val="0"/>
  </c:pivotSource>
  <c:chart>
    <c:title>
      <c:tx>
        <c:rich>
          <a:bodyPr rot="0" spcFirstLastPara="1" vertOverflow="ellipsis" vert="horz" wrap="square" anchor="ctr" anchorCtr="1"/>
          <a:lstStyle/>
          <a:p>
            <a:pPr>
              <a:defRPr sz="1600" b="1" i="0" u="none" strike="noStrike" kern="1200" baseline="0">
                <a:solidFill>
                  <a:schemeClr val="accent5"/>
                </a:solidFill>
                <a:latin typeface="+mn-lt"/>
                <a:ea typeface="+mn-ea"/>
                <a:cs typeface="+mn-cs"/>
              </a:defRPr>
            </a:pPr>
            <a:r>
              <a:rPr lang="en-US"/>
              <a:t>CUSTOMER</a:t>
            </a:r>
            <a:r>
              <a:rPr lang="en-US" baseline="0"/>
              <a:t> TYPE DISTRIBUTION</a:t>
            </a:r>
            <a:endParaRPr lang="en-US"/>
          </a:p>
        </c:rich>
      </c:tx>
      <c:layout>
        <c:manualLayout>
          <c:xMode val="edge"/>
          <c:yMode val="edge"/>
          <c:x val="0.4356828012514562"/>
          <c:y val="0.1499887754684103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5"/>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Sheet1!$G$17:$G$20</c:f>
              <c:strCache>
                <c:ptCount val="3"/>
                <c:pt idx="0">
                  <c:v>New</c:v>
                </c:pt>
                <c:pt idx="1">
                  <c:v>Premium</c:v>
                </c:pt>
                <c:pt idx="2">
                  <c:v>Regular</c:v>
                </c:pt>
              </c:strCache>
            </c:strRef>
          </c:cat>
          <c:val>
            <c:numRef>
              <c:f>Sheet1!$H$17:$H$20</c:f>
              <c:numCache>
                <c:formatCode>General</c:formatCode>
                <c:ptCount val="3"/>
                <c:pt idx="0">
                  <c:v>13</c:v>
                </c:pt>
                <c:pt idx="1">
                  <c:v>11</c:v>
                </c:pt>
                <c:pt idx="2">
                  <c:v>26</c:v>
                </c:pt>
              </c:numCache>
            </c:numRef>
          </c:val>
          <c:extLst>
            <c:ext xmlns:c16="http://schemas.microsoft.com/office/drawing/2014/chart" uri="{C3380CC4-5D6E-409C-BE32-E72D297353CC}">
              <c16:uniqueId val="{00000000-808E-4D67-B990-24EA17D414A3}"/>
            </c:ext>
          </c:extLst>
        </c:ser>
        <c:dLbls>
          <c:showLegendKey val="0"/>
          <c:showVal val="0"/>
          <c:showCatName val="0"/>
          <c:showSerName val="0"/>
          <c:showPercent val="0"/>
          <c:showBubbleSize val="0"/>
        </c:dLbls>
        <c:gapWidth val="150"/>
        <c:shape val="box"/>
        <c:axId val="440864184"/>
        <c:axId val="440862384"/>
        <c:axId val="0"/>
      </c:bar3DChart>
      <c:catAx>
        <c:axId val="440864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440862384"/>
        <c:crosses val="autoZero"/>
        <c:auto val="1"/>
        <c:lblAlgn val="ctr"/>
        <c:lblOffset val="100"/>
        <c:noMultiLvlLbl val="0"/>
      </c:catAx>
      <c:valAx>
        <c:axId val="440862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44086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SHIBILAA.xlsx]Sheet1!PivotTable7</c:name>
    <c:fmtId val="3"/>
  </c:pivotSource>
  <c:chart>
    <c:title>
      <c:tx>
        <c:rich>
          <a:bodyPr rot="0" spcFirstLastPara="1" vertOverflow="ellipsis" vert="horz" wrap="square" anchor="ctr" anchorCtr="1"/>
          <a:lstStyle/>
          <a:p>
            <a:pPr>
              <a:defRPr sz="1800" b="1" i="0" u="none" strike="noStrike" kern="1200" cap="all" spc="150" baseline="0">
                <a:solidFill>
                  <a:schemeClr val="accent5"/>
                </a:solidFill>
                <a:latin typeface="+mn-lt"/>
                <a:ea typeface="+mn-ea"/>
                <a:cs typeface="+mn-cs"/>
              </a:defRPr>
            </a:pPr>
            <a:r>
              <a:rPr lang="en-US"/>
              <a:t>AVERAGE</a:t>
            </a:r>
            <a:r>
              <a:rPr lang="en-US" baseline="0"/>
              <a:t> RATING BY VEHICLE</a:t>
            </a:r>
            <a:endParaRPr lang="en-US"/>
          </a:p>
        </c:rich>
      </c:tx>
      <c:layout>
        <c:manualLayout>
          <c:xMode val="edge"/>
          <c:yMode val="edge"/>
          <c:x val="0.1575133762347978"/>
          <c:y val="0.11034608785340838"/>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5"/>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Sheet1!$K$3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Sheet1!$J$4:$J$8</c:f>
              <c:strCache>
                <c:ptCount val="4"/>
                <c:pt idx="0">
                  <c:v>Auto</c:v>
                </c:pt>
                <c:pt idx="1">
                  <c:v>Premier</c:v>
                </c:pt>
                <c:pt idx="2">
                  <c:v>UberGo</c:v>
                </c:pt>
                <c:pt idx="3">
                  <c:v>UberXL</c:v>
                </c:pt>
              </c:strCache>
            </c:strRef>
          </c:cat>
          <c:val>
            <c:numRef>
              <c:f>Sheet1!$K$4:$K$8</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0-9982-4D90-965B-5BF24C28AB81}"/>
            </c:ext>
          </c:extLst>
        </c:ser>
        <c:dLbls>
          <c:showLegendKey val="0"/>
          <c:showVal val="0"/>
          <c:showCatName val="0"/>
          <c:showSerName val="0"/>
          <c:showPercent val="0"/>
          <c:showBubbleSize val="0"/>
        </c:dLbls>
        <c:gapWidth val="160"/>
        <c:gapDepth val="0"/>
        <c:shape val="box"/>
        <c:axId val="568011624"/>
        <c:axId val="568011984"/>
        <c:axId val="0"/>
      </c:bar3DChart>
      <c:catAx>
        <c:axId val="568011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568011984"/>
        <c:crosses val="autoZero"/>
        <c:auto val="1"/>
        <c:lblAlgn val="ctr"/>
        <c:lblOffset val="100"/>
        <c:noMultiLvlLbl val="0"/>
      </c:catAx>
      <c:valAx>
        <c:axId val="568011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568011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SHIBILAA.xlsx]Sheet1!PivotTable2</c:name>
    <c:fmtId val="3"/>
  </c:pivotSource>
  <c:chart>
    <c:title>
      <c:tx>
        <c:rich>
          <a:bodyPr rot="0" spcFirstLastPara="1" vertOverflow="ellipsis" vert="horz" wrap="square" anchor="ctr" anchorCtr="1"/>
          <a:lstStyle/>
          <a:p>
            <a:pPr>
              <a:defRPr sz="1800" b="1" i="0" u="none" strike="noStrike" kern="1200" cap="all" spc="150" baseline="0">
                <a:solidFill>
                  <a:schemeClr val="accent5"/>
                </a:solidFill>
                <a:latin typeface="+mn-lt"/>
                <a:ea typeface="+mn-ea"/>
                <a:cs typeface="+mn-cs"/>
              </a:defRPr>
            </a:pPr>
            <a:r>
              <a:rPr lang="en-US"/>
              <a:t>RIDES BY VEHICLE TYPE</a:t>
            </a:r>
          </a:p>
        </c:rich>
      </c:tx>
      <c:overlay val="0"/>
      <c:spPr>
        <a:solidFill>
          <a:schemeClr val="bg1">
            <a:lumMod val="75000"/>
          </a:schemeClr>
        </a:solidFill>
        <a:ln>
          <a:noFill/>
        </a:ln>
        <a:effectLst/>
      </c:spPr>
      <c:txPr>
        <a:bodyPr rot="0" spcFirstLastPara="1" vertOverflow="ellipsis" vert="horz" wrap="square" anchor="ctr" anchorCtr="1"/>
        <a:lstStyle/>
        <a:p>
          <a:pPr>
            <a:defRPr sz="1800" b="1" i="0" u="none" strike="noStrike" kern="1200" cap="all" spc="150" baseline="0">
              <a:solidFill>
                <a:schemeClr val="accent5"/>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Sheet1!$D$4:$D$8</c:f>
              <c:strCache>
                <c:ptCount val="4"/>
                <c:pt idx="0">
                  <c:v>Auto</c:v>
                </c:pt>
                <c:pt idx="1">
                  <c:v>Premier</c:v>
                </c:pt>
                <c:pt idx="2">
                  <c:v>UberGo</c:v>
                </c:pt>
                <c:pt idx="3">
                  <c:v>UberXL</c:v>
                </c:pt>
              </c:strCache>
            </c:strRef>
          </c:cat>
          <c:val>
            <c:numRef>
              <c:f>Sheet1!$E$4:$E$8</c:f>
              <c:numCache>
                <c:formatCode>General</c:formatCode>
                <c:ptCount val="4"/>
                <c:pt idx="0">
                  <c:v>9</c:v>
                </c:pt>
                <c:pt idx="1">
                  <c:v>8</c:v>
                </c:pt>
                <c:pt idx="2">
                  <c:v>25</c:v>
                </c:pt>
                <c:pt idx="3">
                  <c:v>8</c:v>
                </c:pt>
              </c:numCache>
            </c:numRef>
          </c:val>
          <c:extLst>
            <c:ext xmlns:c16="http://schemas.microsoft.com/office/drawing/2014/chart" uri="{C3380CC4-5D6E-409C-BE32-E72D297353CC}">
              <c16:uniqueId val="{00000000-91F9-402C-9637-8AC476CFA8AE}"/>
            </c:ext>
          </c:extLst>
        </c:ser>
        <c:dLbls>
          <c:showLegendKey val="0"/>
          <c:showVal val="0"/>
          <c:showCatName val="0"/>
          <c:showSerName val="0"/>
          <c:showPercent val="0"/>
          <c:showBubbleSize val="0"/>
        </c:dLbls>
        <c:gapWidth val="227"/>
        <c:overlap val="-48"/>
        <c:axId val="440863824"/>
        <c:axId val="440864904"/>
      </c:barChart>
      <c:catAx>
        <c:axId val="440863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440864904"/>
        <c:crosses val="autoZero"/>
        <c:auto val="1"/>
        <c:lblAlgn val="ctr"/>
        <c:lblOffset val="100"/>
        <c:noMultiLvlLbl val="0"/>
      </c:catAx>
      <c:valAx>
        <c:axId val="440864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44086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SHIBILAA.xlsx]Sheet1!PivotTable8</c:name>
    <c:fmtId val="3"/>
  </c:pivotSource>
  <c:chart>
    <c:title>
      <c:tx>
        <c:rich>
          <a:bodyPr rot="0" spcFirstLastPara="1" vertOverflow="ellipsis" vert="horz" wrap="square" anchor="ctr" anchorCtr="1"/>
          <a:lstStyle/>
          <a:p>
            <a:pPr>
              <a:defRPr sz="1600" b="1" i="0" u="none" strike="noStrike" kern="1200" spc="100" baseline="0">
                <a:solidFill>
                  <a:schemeClr val="accent5"/>
                </a:solidFill>
                <a:effectLst>
                  <a:outerShdw blurRad="50800" dist="38100" dir="5400000" algn="t" rotWithShape="0">
                    <a:prstClr val="black">
                      <a:alpha val="40000"/>
                    </a:prstClr>
                  </a:outerShdw>
                </a:effectLst>
                <a:latin typeface="+mn-lt"/>
                <a:ea typeface="+mn-ea"/>
                <a:cs typeface="+mn-cs"/>
              </a:defRPr>
            </a:pPr>
            <a:r>
              <a:rPr lang="en-US"/>
              <a:t>COMPLETED VS ANCELLED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5"/>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3C-475F-A9CA-A70834278A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3C-475F-A9CA-A70834278A20}"/>
              </c:ext>
            </c:extLst>
          </c:dPt>
          <c:cat>
            <c:strRef>
              <c:f>Sheet1!$J$12:$J$14</c:f>
              <c:strCache>
                <c:ptCount val="2"/>
                <c:pt idx="0">
                  <c:v>Cancelled</c:v>
                </c:pt>
                <c:pt idx="1">
                  <c:v>Completed</c:v>
                </c:pt>
              </c:strCache>
            </c:strRef>
          </c:cat>
          <c:val>
            <c:numRef>
              <c:f>Sheet1!$K$12:$K$14</c:f>
              <c:numCache>
                <c:formatCode>General</c:formatCode>
                <c:ptCount val="2"/>
                <c:pt idx="0">
                  <c:v>3</c:v>
                </c:pt>
                <c:pt idx="1">
                  <c:v>47</c:v>
                </c:pt>
              </c:numCache>
            </c:numRef>
          </c:val>
          <c:extLst>
            <c:ext xmlns:c16="http://schemas.microsoft.com/office/drawing/2014/chart" uri="{C3380CC4-5D6E-409C-BE32-E72D297353CC}">
              <c16:uniqueId val="{00000000-63C0-4677-A9EA-CCEA5A7CFF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a:noFill/>
    </a:ln>
    <a:effectLst/>
  </c:spPr>
  <c:txPr>
    <a:bodyPr/>
    <a:lstStyle/>
    <a:p>
      <a:pPr>
        <a:defRPr>
          <a:solidFill>
            <a:schemeClr val="accent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ongolian Baiti" panose="03000500000000000000" pitchFamily="66" charset="0"/>
                <a:ea typeface="+mn-ea"/>
                <a:cs typeface="Mongolian Baiti" panose="03000500000000000000" pitchFamily="66" charset="0"/>
              </a:defRPr>
            </a:pPr>
            <a:r>
              <a:rPr lang="en-US">
                <a:latin typeface="Mongolian Baiti" panose="03000500000000000000" pitchFamily="66" charset="0"/>
                <a:cs typeface="Mongolian Baiti" panose="03000500000000000000" pitchFamily="66" charset="0"/>
              </a:rPr>
              <a:t>REVENUE BY CITY</a:t>
            </a:r>
          </a:p>
        </c:rich>
      </c:tx>
      <c:layout>
        <c:manualLayout>
          <c:xMode val="edge"/>
          <c:yMode val="edge"/>
          <c:x val="0.25309867003459385"/>
          <c:y val="0.135325772193229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ongolian Baiti" panose="03000500000000000000" pitchFamily="66" charset="0"/>
              <a:ea typeface="+mn-ea"/>
              <a:cs typeface="Mongolian Baiti" panose="03000500000000000000" pitchFamily="66"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Sheet1!$A$4:$A$11</c:f>
              <c:strCache>
                <c:ptCount val="7"/>
                <c:pt idx="0">
                  <c:v>Bengaluru</c:v>
                </c:pt>
                <c:pt idx="1">
                  <c:v>Chennai</c:v>
                </c:pt>
                <c:pt idx="2">
                  <c:v>Delhi</c:v>
                </c:pt>
                <c:pt idx="3">
                  <c:v>Hyderabad</c:v>
                </c:pt>
                <c:pt idx="4">
                  <c:v>Kochi</c:v>
                </c:pt>
                <c:pt idx="5">
                  <c:v>Mumbai</c:v>
                </c:pt>
                <c:pt idx="6">
                  <c:v>Pune</c:v>
                </c:pt>
              </c:strCache>
            </c:strRef>
          </c:cat>
          <c:val>
            <c:numRef>
              <c:f>Sheet1!$B$4:$B$11</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7A24-4F94-83B3-40BE3B5653C0}"/>
            </c:ext>
          </c:extLst>
        </c:ser>
        <c:dLbls>
          <c:showLegendKey val="0"/>
          <c:showVal val="0"/>
          <c:showCatName val="0"/>
          <c:showSerName val="0"/>
          <c:showPercent val="0"/>
          <c:showBubbleSize val="0"/>
        </c:dLbls>
        <c:gapWidth val="150"/>
        <c:shape val="box"/>
        <c:axId val="991215071"/>
        <c:axId val="957850847"/>
        <c:axId val="0"/>
      </c:bar3DChart>
      <c:catAx>
        <c:axId val="991215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7850847"/>
        <c:crosses val="autoZero"/>
        <c:auto val="1"/>
        <c:lblAlgn val="ctr"/>
        <c:lblOffset val="100"/>
        <c:noMultiLvlLbl val="0"/>
      </c:catAx>
      <c:valAx>
        <c:axId val="95785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121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SHIBILAA.xlsx]Sheet1!PivotTable3</c:name>
    <c:fmtId val="10"/>
  </c:pivotSource>
  <c:chart>
    <c:title>
      <c:tx>
        <c:rich>
          <a:bodyPr rot="0" spcFirstLastPara="1" vertOverflow="ellipsis" vert="horz" wrap="square" anchor="ctr" anchorCtr="1"/>
          <a:lstStyle/>
          <a:p>
            <a:pPr>
              <a:defRPr sz="1400" b="1" i="0" u="none" strike="noStrike" kern="1200" baseline="0">
                <a:solidFill>
                  <a:schemeClr val="tx1"/>
                </a:solidFill>
                <a:latin typeface="Mongolian Baiti" panose="03000500000000000000" pitchFamily="66" charset="0"/>
                <a:ea typeface="+mn-ea"/>
                <a:cs typeface="Mongolian Baiti" panose="03000500000000000000" pitchFamily="66" charset="0"/>
              </a:defRPr>
            </a:pPr>
            <a:r>
              <a:rPr lang="en-US" sz="1400">
                <a:latin typeface="Mongolian Baiti" panose="03000500000000000000" pitchFamily="66" charset="0"/>
                <a:cs typeface="Mongolian Baiti" panose="03000500000000000000" pitchFamily="66" charset="0"/>
              </a:rPr>
              <a:t> DAILY REVENUE TREND</a:t>
            </a:r>
          </a:p>
        </c:rich>
      </c:tx>
      <c:layout>
        <c:manualLayout>
          <c:xMode val="edge"/>
          <c:yMode val="edge"/>
          <c:x val="0.20916785889337502"/>
          <c:y val="0.12833536652988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ongolian Baiti" panose="03000500000000000000" pitchFamily="66" charset="0"/>
              <a:ea typeface="+mn-ea"/>
              <a:cs typeface="Mongolian Baiti" panose="03000500000000000000" pitchFamily="66" charset="0"/>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7913973439888"/>
          <c:y val="0.32427127680248141"/>
          <c:w val="0.60495788772672077"/>
          <c:h val="0.2799008999016962"/>
        </c:manualLayout>
      </c:layout>
      <c:lineChart>
        <c:grouping val="standard"/>
        <c:varyColors val="0"/>
        <c:ser>
          <c:idx val="0"/>
          <c:order val="0"/>
          <c:tx>
            <c:strRef>
              <c:f>Sheet1!$H$3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Sheet1!$G$4:$G$13</c:f>
              <c:strCache>
                <c:ptCount val="9"/>
                <c:pt idx="0">
                  <c:v>1-Aug-26</c:v>
                </c:pt>
                <c:pt idx="1">
                  <c:v>2-Aug-26</c:v>
                </c:pt>
                <c:pt idx="2">
                  <c:v>3-Aug-26</c:v>
                </c:pt>
                <c:pt idx="3">
                  <c:v>4-Aug-26</c:v>
                </c:pt>
                <c:pt idx="4">
                  <c:v>5-Aug-26</c:v>
                </c:pt>
                <c:pt idx="5">
                  <c:v>6-Aug-26</c:v>
                </c:pt>
                <c:pt idx="6">
                  <c:v>7-Aug-26</c:v>
                </c:pt>
                <c:pt idx="7">
                  <c:v>8-Aug-26</c:v>
                </c:pt>
                <c:pt idx="8">
                  <c:v>9-Aug-26</c:v>
                </c:pt>
              </c:strCache>
            </c:strRef>
          </c:cat>
          <c:val>
            <c:numRef>
              <c:f>Sheet1!$H$4:$H$13</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4066-42C7-A7B2-8A1924E05A6F}"/>
            </c:ext>
          </c:extLst>
        </c:ser>
        <c:dLbls>
          <c:dLblPos val="ctr"/>
          <c:showLegendKey val="0"/>
          <c:showVal val="1"/>
          <c:showCatName val="0"/>
          <c:showSerName val="0"/>
          <c:showPercent val="0"/>
          <c:showBubbleSize val="0"/>
        </c:dLbls>
        <c:marker val="1"/>
        <c:smooth val="0"/>
        <c:axId val="575134240"/>
        <c:axId val="575135320"/>
      </c:lineChart>
      <c:catAx>
        <c:axId val="5751342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575135320"/>
        <c:crosses val="autoZero"/>
        <c:auto val="1"/>
        <c:lblAlgn val="ctr"/>
        <c:lblOffset val="100"/>
        <c:noMultiLvlLbl val="0"/>
      </c:catAx>
      <c:valAx>
        <c:axId val="575135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51342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SHIBILAA.xlsx]Sheet1!PivotTable5</c:name>
    <c:fmtId val="10"/>
  </c:pivotSource>
  <c:chart>
    <c:title>
      <c:tx>
        <c:rich>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ongolian Baiti" panose="03000500000000000000" pitchFamily="66" charset="0"/>
                <a:ea typeface="+mn-ea"/>
                <a:cs typeface="Mongolian Baiti" panose="03000500000000000000" pitchFamily="66" charset="0"/>
              </a:defRPr>
            </a:pPr>
            <a:r>
              <a:rPr lang="en-US" sz="1400">
                <a:latin typeface="Mongolian Baiti" panose="03000500000000000000" pitchFamily="66" charset="0"/>
                <a:cs typeface="Mongolian Baiti" panose="03000500000000000000" pitchFamily="66" charset="0"/>
              </a:rPr>
              <a:t>REVENUE BY TRIP TYPE</a:t>
            </a:r>
          </a:p>
        </c:rich>
      </c:tx>
      <c:layout>
        <c:manualLayout>
          <c:xMode val="edge"/>
          <c:yMode val="edge"/>
          <c:x val="0.15432629752675603"/>
          <c:y val="0.13022166835613241"/>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ongolian Baiti" panose="03000500000000000000" pitchFamily="66" charset="0"/>
              <a:ea typeface="+mn-ea"/>
              <a:cs typeface="Mongolian Baiti" panose="03000500000000000000" pitchFamily="66"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Sheet1!$E$14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37-40FB-B8C3-58A1378BAE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37-40FB-B8C3-58A1378BAEAF}"/>
              </c:ext>
            </c:extLst>
          </c:dPt>
          <c:cat>
            <c:strRef>
              <c:f>Sheet1!$D$15:$D$17</c:f>
              <c:strCache>
                <c:ptCount val="2"/>
                <c:pt idx="0">
                  <c:v>Airport</c:v>
                </c:pt>
                <c:pt idx="1">
                  <c:v>City</c:v>
                </c:pt>
              </c:strCache>
            </c:strRef>
          </c:cat>
          <c:val>
            <c:numRef>
              <c:f>Sheet1!$E$15:$E$17</c:f>
              <c:numCache>
                <c:formatCode>General</c:formatCode>
                <c:ptCount val="2"/>
                <c:pt idx="0">
                  <c:v>8400</c:v>
                </c:pt>
                <c:pt idx="1">
                  <c:v>9642</c:v>
                </c:pt>
              </c:numCache>
            </c:numRef>
          </c:val>
          <c:extLst>
            <c:ext xmlns:c16="http://schemas.microsoft.com/office/drawing/2014/chart" uri="{C3380CC4-5D6E-409C-BE32-E72D297353CC}">
              <c16:uniqueId val="{00000004-8737-40FB-B8C3-58A1378BAE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ongolian Baiti" panose="03000500000000000000" pitchFamily="66" charset="0"/>
                <a:ea typeface="+mn-ea"/>
                <a:cs typeface="Mongolian Baiti" panose="03000500000000000000" pitchFamily="66" charset="0"/>
              </a:defRPr>
            </a:pPr>
            <a:r>
              <a:rPr lang="en-US">
                <a:latin typeface="Mongolian Baiti" panose="03000500000000000000" pitchFamily="66" charset="0"/>
                <a:cs typeface="Mongolian Baiti" panose="03000500000000000000" pitchFamily="66" charset="0"/>
              </a:rPr>
              <a:t>PAYMENT MODE DISTRIBUTION</a:t>
            </a:r>
          </a:p>
        </c:rich>
      </c:tx>
      <c:layout>
        <c:manualLayout>
          <c:xMode val="edge"/>
          <c:yMode val="edge"/>
          <c:x val="0.23873597653769435"/>
          <c:y val="0.124703812281321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ongolian Baiti" panose="03000500000000000000" pitchFamily="66" charset="0"/>
              <a:ea typeface="+mn-ea"/>
              <a:cs typeface="Mongolian Baiti" panose="03000500000000000000" pitchFamily="66"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812169503824746E-2"/>
          <c:y val="0.31497978835706375"/>
          <c:w val="0.60677887842550426"/>
          <c:h val="0.61736691967103807"/>
        </c:manualLayout>
      </c:layout>
      <c:pie3DChart>
        <c:varyColors val="1"/>
        <c:ser>
          <c:idx val="0"/>
          <c:order val="0"/>
          <c:tx>
            <c:strRef>
              <c:f>Sheet1!$B$14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1C-4E98-859F-53F59CB5A4D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1C-4E98-859F-53F59CB5A4D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1C-4E98-859F-53F59CB5A4DE}"/>
              </c:ext>
            </c:extLst>
          </c:dPt>
          <c:cat>
            <c:strRef>
              <c:f>Sheet1!$A$15:$A$18</c:f>
              <c:strCache>
                <c:ptCount val="3"/>
                <c:pt idx="0">
                  <c:v>Card</c:v>
                </c:pt>
                <c:pt idx="1">
                  <c:v>Cash</c:v>
                </c:pt>
                <c:pt idx="2">
                  <c:v>UPI</c:v>
                </c:pt>
              </c:strCache>
            </c:strRef>
          </c:cat>
          <c:val>
            <c:numRef>
              <c:f>Sheet1!$B$15:$B$18</c:f>
              <c:numCache>
                <c:formatCode>General</c:formatCode>
                <c:ptCount val="3"/>
                <c:pt idx="0">
                  <c:v>17</c:v>
                </c:pt>
                <c:pt idx="1">
                  <c:v>10</c:v>
                </c:pt>
                <c:pt idx="2">
                  <c:v>23</c:v>
                </c:pt>
              </c:numCache>
            </c:numRef>
          </c:val>
          <c:extLst>
            <c:ext xmlns:c16="http://schemas.microsoft.com/office/drawing/2014/chart" uri="{C3380CC4-5D6E-409C-BE32-E72D297353CC}">
              <c16:uniqueId val="{00000006-801C-4E98-859F-53F59CB5A4D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SHIBILAA.xlsx]Sheet1!PivotTable8</c:name>
    <c:fmtId val="8"/>
  </c:pivotSource>
  <c:chart>
    <c:title>
      <c:tx>
        <c:rich>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ongolian Baiti" panose="03000500000000000000" pitchFamily="66" charset="0"/>
                <a:ea typeface="+mn-ea"/>
                <a:cs typeface="Mongolian Baiti" panose="03000500000000000000" pitchFamily="66" charset="0"/>
              </a:defRPr>
            </a:pPr>
            <a:r>
              <a:rPr lang="en-US" sz="1400">
                <a:latin typeface="Mongolian Baiti" panose="03000500000000000000" pitchFamily="66" charset="0"/>
                <a:cs typeface="Mongolian Baiti" panose="03000500000000000000" pitchFamily="66" charset="0"/>
              </a:rPr>
              <a:t>COMPLETED VS ANCELLED</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ongolian Baiti" panose="03000500000000000000" pitchFamily="66" charset="0"/>
              <a:ea typeface="+mn-ea"/>
              <a:cs typeface="Mongolian Baiti" panose="03000500000000000000" pitchFamily="66"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FB-40D9-A2FC-27C919AD44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FB-40D9-A2FC-27C919AD4425}"/>
              </c:ext>
            </c:extLst>
          </c:dPt>
          <c:cat>
            <c:strRef>
              <c:f>Sheet1!$J$12:$J$14</c:f>
              <c:strCache>
                <c:ptCount val="2"/>
                <c:pt idx="0">
                  <c:v>Cancelled</c:v>
                </c:pt>
                <c:pt idx="1">
                  <c:v>Completed</c:v>
                </c:pt>
              </c:strCache>
            </c:strRef>
          </c:cat>
          <c:val>
            <c:numRef>
              <c:f>Sheet1!$K$12:$K$14</c:f>
              <c:numCache>
                <c:formatCode>General</c:formatCode>
                <c:ptCount val="2"/>
                <c:pt idx="0">
                  <c:v>3</c:v>
                </c:pt>
                <c:pt idx="1">
                  <c:v>47</c:v>
                </c:pt>
              </c:numCache>
            </c:numRef>
          </c:val>
          <c:extLst>
            <c:ext xmlns:c16="http://schemas.microsoft.com/office/drawing/2014/chart" uri="{C3380CC4-5D6E-409C-BE32-E72D297353CC}">
              <c16:uniqueId val="{00000004-33FB-40D9-A2FC-27C919AD44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SHIBILAA.xlsx]Sheet1!PivotTable6</c:name>
    <c:fmtId val="5"/>
  </c:pivotSource>
  <c:chart>
    <c:title>
      <c:tx>
        <c:rich>
          <a:bodyPr rot="0" spcFirstLastPara="1" vertOverflow="ellipsis" vert="horz" wrap="square" anchor="ctr" anchorCtr="1"/>
          <a:lstStyle/>
          <a:p>
            <a:pPr>
              <a:defRPr sz="1400" b="1" i="0" u="none" strike="noStrike" kern="1200" baseline="0">
                <a:solidFill>
                  <a:schemeClr val="tx1"/>
                </a:solidFill>
                <a:latin typeface="Mongolian Baiti" panose="03000500000000000000" pitchFamily="66" charset="0"/>
                <a:ea typeface="+mn-ea"/>
                <a:cs typeface="Mongolian Baiti" panose="03000500000000000000" pitchFamily="66" charset="0"/>
              </a:defRPr>
            </a:pPr>
            <a:r>
              <a:rPr lang="en-US" sz="1400">
                <a:latin typeface="Mongolian Baiti" panose="03000500000000000000" pitchFamily="66" charset="0"/>
                <a:cs typeface="Mongolian Baiti" panose="03000500000000000000" pitchFamily="66" charset="0"/>
              </a:rPr>
              <a:t>CUSTOMER TYPE DISTRIBUTION</a:t>
            </a:r>
          </a:p>
        </c:rich>
      </c:tx>
      <c:layout>
        <c:manualLayout>
          <c:xMode val="edge"/>
          <c:yMode val="edge"/>
          <c:x val="0.26403909483363008"/>
          <c:y val="0.1143651700026046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ongolian Baiti" panose="03000500000000000000" pitchFamily="66" charset="0"/>
              <a:ea typeface="+mn-ea"/>
              <a:cs typeface="Mongolian Baiti" panose="03000500000000000000" pitchFamily="66"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Sheet1!$G$17:$G$20</c:f>
              <c:strCache>
                <c:ptCount val="3"/>
                <c:pt idx="0">
                  <c:v>New</c:v>
                </c:pt>
                <c:pt idx="1">
                  <c:v>Premium</c:v>
                </c:pt>
                <c:pt idx="2">
                  <c:v>Regular</c:v>
                </c:pt>
              </c:strCache>
            </c:strRef>
          </c:cat>
          <c:val>
            <c:numRef>
              <c:f>Sheet1!$H$17:$H$20</c:f>
              <c:numCache>
                <c:formatCode>General</c:formatCode>
                <c:ptCount val="3"/>
                <c:pt idx="0">
                  <c:v>13</c:v>
                </c:pt>
                <c:pt idx="1">
                  <c:v>11</c:v>
                </c:pt>
                <c:pt idx="2">
                  <c:v>26</c:v>
                </c:pt>
              </c:numCache>
            </c:numRef>
          </c:val>
          <c:extLst>
            <c:ext xmlns:c16="http://schemas.microsoft.com/office/drawing/2014/chart" uri="{C3380CC4-5D6E-409C-BE32-E72D297353CC}">
              <c16:uniqueId val="{00000000-C515-4244-A2B2-4E1BC757F7BC}"/>
            </c:ext>
          </c:extLst>
        </c:ser>
        <c:dLbls>
          <c:showLegendKey val="0"/>
          <c:showVal val="0"/>
          <c:showCatName val="0"/>
          <c:showSerName val="0"/>
          <c:showPercent val="0"/>
          <c:showBubbleSize val="0"/>
        </c:dLbls>
        <c:gapWidth val="150"/>
        <c:shape val="box"/>
        <c:axId val="440864184"/>
        <c:axId val="440862384"/>
        <c:axId val="0"/>
      </c:bar3DChart>
      <c:catAx>
        <c:axId val="440864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0862384"/>
        <c:crosses val="autoZero"/>
        <c:auto val="1"/>
        <c:lblAlgn val="ctr"/>
        <c:lblOffset val="100"/>
        <c:noMultiLvlLbl val="0"/>
      </c:catAx>
      <c:valAx>
        <c:axId val="440862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086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5.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chart" Target="../charts/chart10.xml"/><Relationship Id="rId17" Type="http://schemas.openxmlformats.org/officeDocument/2006/relationships/chart" Target="../charts/chart14.xml"/><Relationship Id="rId2" Type="http://schemas.openxmlformats.org/officeDocument/2006/relationships/image" Target="../media/image6.svg"/><Relationship Id="rId16" Type="http://schemas.openxmlformats.org/officeDocument/2006/relationships/chart" Target="../charts/chart13.xml"/><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chart" Target="../charts/chart9.xml"/><Relationship Id="rId5" Type="http://schemas.openxmlformats.org/officeDocument/2006/relationships/image" Target="../media/image9.png"/><Relationship Id="rId15" Type="http://schemas.openxmlformats.org/officeDocument/2006/relationships/chart" Target="../charts/chart12.xml"/><Relationship Id="rId10" Type="http://schemas.openxmlformats.org/officeDocument/2006/relationships/image" Target="../media/image14.sv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12700</xdr:rowOff>
    </xdr:from>
    <xdr:to>
      <xdr:col>3</xdr:col>
      <xdr:colOff>631825</xdr:colOff>
      <xdr:row>32</xdr:row>
      <xdr:rowOff>146050</xdr:rowOff>
    </xdr:to>
    <xdr:graphicFrame macro="">
      <xdr:nvGraphicFramePr>
        <xdr:cNvPr id="2" name="Chart 1">
          <a:extLst>
            <a:ext uri="{FF2B5EF4-FFF2-40B4-BE49-F238E27FC236}">
              <a16:creationId xmlns:a16="http://schemas.microsoft.com/office/drawing/2014/main" id="{665A4856-B936-06DB-513E-95F9C66AA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38100</xdr:colOff>
      <xdr:row>16</xdr:row>
      <xdr:rowOff>38100</xdr:rowOff>
    </xdr:from>
    <xdr:to>
      <xdr:col>23</xdr:col>
      <xdr:colOff>314325</xdr:colOff>
      <xdr:row>28</xdr:row>
      <xdr:rowOff>4762</xdr:rowOff>
    </xdr:to>
    <xdr:graphicFrame macro="">
      <xdr:nvGraphicFramePr>
        <xdr:cNvPr id="6" name="Chart 5">
          <a:extLst>
            <a:ext uri="{FF2B5EF4-FFF2-40B4-BE49-F238E27FC236}">
              <a16:creationId xmlns:a16="http://schemas.microsoft.com/office/drawing/2014/main" id="{5FDCC621-9113-256E-852D-A647B8D66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571499</xdr:colOff>
      <xdr:row>28</xdr:row>
      <xdr:rowOff>163286</xdr:rowOff>
    </xdr:from>
    <xdr:to>
      <xdr:col>17</xdr:col>
      <xdr:colOff>77559</xdr:colOff>
      <xdr:row>39</xdr:row>
      <xdr:rowOff>184376</xdr:rowOff>
    </xdr:to>
    <xdr:graphicFrame macro="">
      <xdr:nvGraphicFramePr>
        <xdr:cNvPr id="7" name="Chart 6">
          <a:extLst>
            <a:ext uri="{FF2B5EF4-FFF2-40B4-BE49-F238E27FC236}">
              <a16:creationId xmlns:a16="http://schemas.microsoft.com/office/drawing/2014/main" id="{3ED6BEED-DF44-29FB-F8CE-F81F29425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797378</xdr:colOff>
      <xdr:row>16</xdr:row>
      <xdr:rowOff>48985</xdr:rowOff>
    </xdr:from>
    <xdr:to>
      <xdr:col>15</xdr:col>
      <xdr:colOff>131988</xdr:colOff>
      <xdr:row>27</xdr:row>
      <xdr:rowOff>63271</xdr:rowOff>
    </xdr:to>
    <xdr:graphicFrame macro="">
      <xdr:nvGraphicFramePr>
        <xdr:cNvPr id="8" name="Chart 7">
          <a:extLst>
            <a:ext uri="{FF2B5EF4-FFF2-40B4-BE49-F238E27FC236}">
              <a16:creationId xmlns:a16="http://schemas.microsoft.com/office/drawing/2014/main" id="{DCBC8CE8-0352-C683-01E3-CC7E2D1C7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571500</xdr:colOff>
      <xdr:row>29</xdr:row>
      <xdr:rowOff>9525</xdr:rowOff>
    </xdr:from>
    <xdr:to>
      <xdr:col>23</xdr:col>
      <xdr:colOff>590550</xdr:colOff>
      <xdr:row>39</xdr:row>
      <xdr:rowOff>33336</xdr:rowOff>
    </xdr:to>
    <xdr:graphicFrame macro="">
      <xdr:nvGraphicFramePr>
        <xdr:cNvPr id="9" name="Chart 8">
          <a:extLst>
            <a:ext uri="{FF2B5EF4-FFF2-40B4-BE49-F238E27FC236}">
              <a16:creationId xmlns:a16="http://schemas.microsoft.com/office/drawing/2014/main" id="{9C6A010B-8446-3DB7-06CF-B54A3A0E3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0</xdr:row>
      <xdr:rowOff>136071</xdr:rowOff>
    </xdr:from>
    <xdr:to>
      <xdr:col>17</xdr:col>
      <xdr:colOff>538843</xdr:colOff>
      <xdr:row>14</xdr:row>
      <xdr:rowOff>1360</xdr:rowOff>
    </xdr:to>
    <xdr:graphicFrame macro="">
      <xdr:nvGraphicFramePr>
        <xdr:cNvPr id="10" name="Chart 9">
          <a:extLst>
            <a:ext uri="{FF2B5EF4-FFF2-40B4-BE49-F238E27FC236}">
              <a16:creationId xmlns:a16="http://schemas.microsoft.com/office/drawing/2014/main" id="{72B09709-0E94-D789-307F-06A6B1FDD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312963</xdr:colOff>
      <xdr:row>22</xdr:row>
      <xdr:rowOff>19048</xdr:rowOff>
    </xdr:from>
    <xdr:to>
      <xdr:col>9</xdr:col>
      <xdr:colOff>1162047</xdr:colOff>
      <xdr:row>34</xdr:row>
      <xdr:rowOff>27213</xdr:rowOff>
    </xdr:to>
    <xdr:graphicFrame macro="">
      <xdr:nvGraphicFramePr>
        <xdr:cNvPr id="11" name="Chart 10">
          <a:extLst>
            <a:ext uri="{FF2B5EF4-FFF2-40B4-BE49-F238E27FC236}">
              <a16:creationId xmlns:a16="http://schemas.microsoft.com/office/drawing/2014/main" id="{29A3CBEC-4084-5DF5-E867-CA420E662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647700</xdr:colOff>
      <xdr:row>34</xdr:row>
      <xdr:rowOff>0</xdr:rowOff>
    </xdr:from>
    <xdr:to>
      <xdr:col>4</xdr:col>
      <xdr:colOff>714375</xdr:colOff>
      <xdr:row>45</xdr:row>
      <xdr:rowOff>128586</xdr:rowOff>
    </xdr:to>
    <xdr:graphicFrame macro="">
      <xdr:nvGraphicFramePr>
        <xdr:cNvPr id="13" name="Chart 12">
          <a:extLst>
            <a:ext uri="{FF2B5EF4-FFF2-40B4-BE49-F238E27FC236}">
              <a16:creationId xmlns:a16="http://schemas.microsoft.com/office/drawing/2014/main" id="{C0244B3B-FFF2-FE76-C19B-C102B753E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646188</xdr:colOff>
      <xdr:row>20</xdr:row>
      <xdr:rowOff>95250</xdr:rowOff>
    </xdr:from>
    <xdr:to>
      <xdr:col>4</xdr:col>
      <xdr:colOff>1275141</xdr:colOff>
      <xdr:row>31</xdr:row>
      <xdr:rowOff>149679</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157204F-1F76-CEAF-8814-BD2E1D9C248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43867" y="3905250"/>
              <a:ext cx="1826381" cy="2149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92529</xdr:colOff>
      <xdr:row>15</xdr:row>
      <xdr:rowOff>63953</xdr:rowOff>
    </xdr:from>
    <xdr:to>
      <xdr:col>18</xdr:col>
      <xdr:colOff>84364</xdr:colOff>
      <xdr:row>27</xdr:row>
      <xdr:rowOff>190499</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300AA918-92FB-DA41-2A09-4E344A6C5D5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5359743" y="2921453"/>
              <a:ext cx="1828800" cy="2412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48986</xdr:colOff>
      <xdr:row>2</xdr:row>
      <xdr:rowOff>63953</xdr:rowOff>
    </xdr:from>
    <xdr:to>
      <xdr:col>21</xdr:col>
      <xdr:colOff>40822</xdr:colOff>
      <xdr:row>11</xdr:row>
      <xdr:rowOff>27214</xdr:rowOff>
    </xdr:to>
    <mc:AlternateContent xmlns:mc="http://schemas.openxmlformats.org/markup-compatibility/2006" xmlns:a14="http://schemas.microsoft.com/office/drawing/2010/main">
      <mc:Choice Requires="a14">
        <xdr:graphicFrame macro="">
          <xdr:nvGraphicFramePr>
            <xdr:cNvPr id="5" name="Vehicle_Type">
              <a:extLst>
                <a:ext uri="{FF2B5EF4-FFF2-40B4-BE49-F238E27FC236}">
                  <a16:creationId xmlns:a16="http://schemas.microsoft.com/office/drawing/2014/main" id="{B4B5CD3E-5676-7536-8CA6-7BF327DC67D9}"/>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17153165" y="444953"/>
              <a:ext cx="1828800" cy="1677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190501</xdr:colOff>
      <xdr:row>35</xdr:row>
      <xdr:rowOff>40821</xdr:rowOff>
    </xdr:from>
    <xdr:to>
      <xdr:col>15</xdr:col>
      <xdr:colOff>557893</xdr:colOff>
      <xdr:row>36</xdr:row>
      <xdr:rowOff>95250</xdr:rowOff>
    </xdr:to>
    <xdr:pic>
      <xdr:nvPicPr>
        <xdr:cNvPr id="19" name="Graphic 18" descr="Airplane">
          <a:extLst>
            <a:ext uri="{FF2B5EF4-FFF2-40B4-BE49-F238E27FC236}">
              <a16:creationId xmlns:a16="http://schemas.microsoft.com/office/drawing/2014/main" id="{8EA139C9-1345-6BC9-FEF3-BBC2D665118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668501" y="6708321"/>
          <a:ext cx="367392" cy="244929"/>
        </a:xfrm>
        <a:prstGeom prst="rect">
          <a:avLst/>
        </a:prstGeom>
      </xdr:spPr>
    </xdr:pic>
    <xdr:clientData/>
  </xdr:twoCellAnchor>
  <xdr:twoCellAnchor editAs="oneCell">
    <xdr:from>
      <xdr:col>15</xdr:col>
      <xdr:colOff>231324</xdr:colOff>
      <xdr:row>36</xdr:row>
      <xdr:rowOff>122464</xdr:rowOff>
    </xdr:from>
    <xdr:to>
      <xdr:col>15</xdr:col>
      <xdr:colOff>557894</xdr:colOff>
      <xdr:row>37</xdr:row>
      <xdr:rowOff>153188</xdr:rowOff>
    </xdr:to>
    <xdr:pic>
      <xdr:nvPicPr>
        <xdr:cNvPr id="20" name="Graphic 1" descr="City">
          <a:extLst>
            <a:ext uri="{FF2B5EF4-FFF2-40B4-BE49-F238E27FC236}">
              <a16:creationId xmlns:a16="http://schemas.microsoft.com/office/drawing/2014/main" id="{076C644D-4F54-3E32-2DD4-0F2781975C1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709324" y="6980464"/>
          <a:ext cx="326570" cy="221224"/>
        </a:xfrm>
        <a:prstGeom prst="rect">
          <a:avLst/>
        </a:prstGeom>
      </xdr:spPr>
    </xdr:pic>
    <xdr:clientData/>
  </xdr:twoCellAnchor>
  <xdr:twoCellAnchor editAs="oneCell">
    <xdr:from>
      <xdr:col>9</xdr:col>
      <xdr:colOff>1181100</xdr:colOff>
      <xdr:row>28</xdr:row>
      <xdr:rowOff>50347</xdr:rowOff>
    </xdr:from>
    <xdr:to>
      <xdr:col>10</xdr:col>
      <xdr:colOff>1812472</xdr:colOff>
      <xdr:row>40</xdr:row>
      <xdr:rowOff>54428</xdr:rowOff>
    </xdr:to>
    <mc:AlternateContent xmlns:mc="http://schemas.openxmlformats.org/markup-compatibility/2006" xmlns:a14="http://schemas.microsoft.com/office/drawing/2010/main">
      <mc:Choice Requires="a14">
        <xdr:graphicFrame macro="">
          <xdr:nvGraphicFramePr>
            <xdr:cNvPr id="21" name="Vehicle_Type 1">
              <a:extLst>
                <a:ext uri="{FF2B5EF4-FFF2-40B4-BE49-F238E27FC236}">
                  <a16:creationId xmlns:a16="http://schemas.microsoft.com/office/drawing/2014/main" id="{C1E6AE37-7DD2-9C9F-39E4-C5FE1CDE4401}"/>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10787743" y="5384347"/>
              <a:ext cx="1828800" cy="2290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344260</xdr:colOff>
      <xdr:row>16</xdr:row>
      <xdr:rowOff>68036</xdr:rowOff>
    </xdr:from>
    <xdr:to>
      <xdr:col>26</xdr:col>
      <xdr:colOff>27214</xdr:colOff>
      <xdr:row>25</xdr:row>
      <xdr:rowOff>0</xdr:rowOff>
    </xdr:to>
    <mc:AlternateContent xmlns:mc="http://schemas.openxmlformats.org/markup-compatibility/2006" xmlns:a14="http://schemas.microsoft.com/office/drawing/2010/main">
      <mc:Choice Requires="a14">
        <xdr:graphicFrame macro="">
          <xdr:nvGraphicFramePr>
            <xdr:cNvPr id="22" name="Payment_Mode 1">
              <a:extLst>
                <a:ext uri="{FF2B5EF4-FFF2-40B4-BE49-F238E27FC236}">
                  <a16:creationId xmlns:a16="http://schemas.microsoft.com/office/drawing/2014/main" id="{600A07D1-D314-AB39-E969-E7ECFBD6EACD}"/>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20510046" y="3116036"/>
              <a:ext cx="1519918" cy="1646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44824</xdr:colOff>
      <xdr:row>4</xdr:row>
      <xdr:rowOff>47625</xdr:rowOff>
    </xdr:from>
    <xdr:to>
      <xdr:col>4</xdr:col>
      <xdr:colOff>470647</xdr:colOff>
      <xdr:row>6</xdr:row>
      <xdr:rowOff>152400</xdr:rowOff>
    </xdr:to>
    <xdr:sp macro="" textlink="">
      <xdr:nvSpPr>
        <xdr:cNvPr id="5" name="TextBox 4">
          <a:extLst>
            <a:ext uri="{FF2B5EF4-FFF2-40B4-BE49-F238E27FC236}">
              <a16:creationId xmlns:a16="http://schemas.microsoft.com/office/drawing/2014/main" id="{45C90AE7-C502-0627-4F93-51C1DD45DDF7}"/>
            </a:ext>
          </a:extLst>
        </xdr:cNvPr>
        <xdr:cNvSpPr txBox="1"/>
      </xdr:nvSpPr>
      <xdr:spPr>
        <a:xfrm>
          <a:off x="44824" y="809625"/>
          <a:ext cx="2846294" cy="485775"/>
        </a:xfrm>
        <a:prstGeom prst="roundRect">
          <a:avLst/>
        </a:prstGeom>
        <a:solidFill>
          <a:schemeClr val="accent2">
            <a:lumMod val="60000"/>
            <a:lumOff val="40000"/>
          </a:schemeClr>
        </a:solidFill>
        <a:ln w="9525" cmpd="sng">
          <a:solidFill>
            <a:schemeClr val="lt1">
              <a:shade val="50000"/>
            </a:schemeClr>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tx1"/>
              </a:solidFill>
              <a:latin typeface="Mongolian Baiti" panose="03000500000000000000" pitchFamily="66" charset="0"/>
              <a:cs typeface="Mongolian Baiti" panose="03000500000000000000" pitchFamily="66" charset="0"/>
            </a:rPr>
            <a:t>TOTAL RIDERS-50</a:t>
          </a:r>
        </a:p>
      </xdr:txBody>
    </xdr:sp>
    <xdr:clientData/>
  </xdr:twoCellAnchor>
  <xdr:twoCellAnchor>
    <xdr:from>
      <xdr:col>10</xdr:col>
      <xdr:colOff>133348</xdr:colOff>
      <xdr:row>0</xdr:row>
      <xdr:rowOff>91327</xdr:rowOff>
    </xdr:from>
    <xdr:to>
      <xdr:col>17</xdr:col>
      <xdr:colOff>428623</xdr:colOff>
      <xdr:row>3</xdr:row>
      <xdr:rowOff>62752</xdr:rowOff>
    </xdr:to>
    <xdr:sp macro="" textlink="">
      <xdr:nvSpPr>
        <xdr:cNvPr id="6" name="TextBox 5">
          <a:extLst>
            <a:ext uri="{FF2B5EF4-FFF2-40B4-BE49-F238E27FC236}">
              <a16:creationId xmlns:a16="http://schemas.microsoft.com/office/drawing/2014/main" id="{0C29F9F4-E80C-731B-F620-C4D23E65F664}"/>
            </a:ext>
          </a:extLst>
        </xdr:cNvPr>
        <xdr:cNvSpPr txBox="1"/>
      </xdr:nvSpPr>
      <xdr:spPr>
        <a:xfrm rot="10800000" flipV="1">
          <a:off x="6296583" y="91327"/>
          <a:ext cx="4609540" cy="559734"/>
        </a:xfrm>
        <a:prstGeom prst="roundRect">
          <a:avLst/>
        </a:prstGeom>
        <a:solidFill>
          <a:schemeClr val="accent2">
            <a:lumMod val="60000"/>
            <a:lumOff val="4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Mongolian Baiti" panose="03000500000000000000" pitchFamily="66" charset="0"/>
              <a:cs typeface="Mongolian Baiti" panose="03000500000000000000" pitchFamily="66" charset="0"/>
            </a:rPr>
            <a:t>UBER DASHBOARD</a:t>
          </a:r>
        </a:p>
      </xdr:txBody>
    </xdr:sp>
    <xdr:clientData/>
  </xdr:twoCellAnchor>
  <xdr:twoCellAnchor editAs="oneCell">
    <xdr:from>
      <xdr:col>10</xdr:col>
      <xdr:colOff>284631</xdr:colOff>
      <xdr:row>0</xdr:row>
      <xdr:rowOff>112060</xdr:rowOff>
    </xdr:from>
    <xdr:to>
      <xdr:col>11</xdr:col>
      <xdr:colOff>170331</xdr:colOff>
      <xdr:row>3</xdr:row>
      <xdr:rowOff>30256</xdr:rowOff>
    </xdr:to>
    <xdr:pic>
      <xdr:nvPicPr>
        <xdr:cNvPr id="8" name="Graphic 7" descr="Car">
          <a:extLst>
            <a:ext uri="{FF2B5EF4-FFF2-40B4-BE49-F238E27FC236}">
              <a16:creationId xmlns:a16="http://schemas.microsoft.com/office/drawing/2014/main" id="{F52A0564-E525-CCCD-2BF2-3FA8C15F7C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47866" y="112060"/>
          <a:ext cx="502024" cy="506505"/>
        </a:xfrm>
        <a:prstGeom prst="rect">
          <a:avLst/>
        </a:prstGeom>
      </xdr:spPr>
    </xdr:pic>
    <xdr:clientData/>
  </xdr:twoCellAnchor>
  <xdr:twoCellAnchor editAs="oneCell">
    <xdr:from>
      <xdr:col>0</xdr:col>
      <xdr:colOff>20732</xdr:colOff>
      <xdr:row>4</xdr:row>
      <xdr:rowOff>47626</xdr:rowOff>
    </xdr:from>
    <xdr:to>
      <xdr:col>0</xdr:col>
      <xdr:colOff>411256</xdr:colOff>
      <xdr:row>6</xdr:row>
      <xdr:rowOff>47625</xdr:rowOff>
    </xdr:to>
    <xdr:pic>
      <xdr:nvPicPr>
        <xdr:cNvPr id="10" name="Graphic 9" descr="Taxi">
          <a:extLst>
            <a:ext uri="{FF2B5EF4-FFF2-40B4-BE49-F238E27FC236}">
              <a16:creationId xmlns:a16="http://schemas.microsoft.com/office/drawing/2014/main" id="{4BC3974A-06A8-A0F5-9E3C-CBFE962825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32" y="809626"/>
          <a:ext cx="390524" cy="380999"/>
        </a:xfrm>
        <a:prstGeom prst="rect">
          <a:avLst/>
        </a:prstGeom>
      </xdr:spPr>
    </xdr:pic>
    <xdr:clientData/>
  </xdr:twoCellAnchor>
  <xdr:twoCellAnchor>
    <xdr:from>
      <xdr:col>4</xdr:col>
      <xdr:colOff>552451</xdr:colOff>
      <xdr:row>4</xdr:row>
      <xdr:rowOff>47625</xdr:rowOff>
    </xdr:from>
    <xdr:to>
      <xdr:col>10</xdr:col>
      <xdr:colOff>403412</xdr:colOff>
      <xdr:row>6</xdr:row>
      <xdr:rowOff>171450</xdr:rowOff>
    </xdr:to>
    <xdr:sp macro="" textlink="">
      <xdr:nvSpPr>
        <xdr:cNvPr id="11" name="TextBox 10">
          <a:extLst>
            <a:ext uri="{FF2B5EF4-FFF2-40B4-BE49-F238E27FC236}">
              <a16:creationId xmlns:a16="http://schemas.microsoft.com/office/drawing/2014/main" id="{7C393CA9-8FB0-18A9-BD23-F11B15F1D326}"/>
            </a:ext>
          </a:extLst>
        </xdr:cNvPr>
        <xdr:cNvSpPr txBox="1"/>
      </xdr:nvSpPr>
      <xdr:spPr>
        <a:xfrm>
          <a:off x="2972922" y="809625"/>
          <a:ext cx="3481666" cy="504825"/>
        </a:xfrm>
        <a:prstGeom prst="roundRect">
          <a:avLst/>
        </a:prstGeom>
        <a:solidFill>
          <a:schemeClr val="accent2">
            <a:lumMod val="60000"/>
            <a:lumOff val="4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Mongolian Baiti" panose="03000500000000000000" pitchFamily="66" charset="0"/>
              <a:cs typeface="Mongolian Baiti" panose="03000500000000000000" pitchFamily="66" charset="0"/>
            </a:rPr>
            <a:t>COMPLETED RIDERS-47</a:t>
          </a:r>
        </a:p>
      </xdr:txBody>
    </xdr:sp>
    <xdr:clientData/>
  </xdr:twoCellAnchor>
  <xdr:twoCellAnchor editAs="oneCell">
    <xdr:from>
      <xdr:col>4</xdr:col>
      <xdr:colOff>566458</xdr:colOff>
      <xdr:row>4</xdr:row>
      <xdr:rowOff>122144</xdr:rowOff>
    </xdr:from>
    <xdr:to>
      <xdr:col>5</xdr:col>
      <xdr:colOff>247091</xdr:colOff>
      <xdr:row>6</xdr:row>
      <xdr:rowOff>26894</xdr:rowOff>
    </xdr:to>
    <xdr:pic>
      <xdr:nvPicPr>
        <xdr:cNvPr id="13" name="Graphic 12" descr="Checkmark">
          <a:extLst>
            <a:ext uri="{FF2B5EF4-FFF2-40B4-BE49-F238E27FC236}">
              <a16:creationId xmlns:a16="http://schemas.microsoft.com/office/drawing/2014/main" id="{6F6C1E49-1C2D-F1BC-0E88-B647E28B9B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86929" y="884144"/>
          <a:ext cx="285750" cy="285750"/>
        </a:xfrm>
        <a:prstGeom prst="rect">
          <a:avLst/>
        </a:prstGeom>
      </xdr:spPr>
    </xdr:pic>
    <xdr:clientData/>
  </xdr:twoCellAnchor>
  <xdr:twoCellAnchor>
    <xdr:from>
      <xdr:col>10</xdr:col>
      <xdr:colOff>496979</xdr:colOff>
      <xdr:row>4</xdr:row>
      <xdr:rowOff>34739</xdr:rowOff>
    </xdr:from>
    <xdr:to>
      <xdr:col>16</xdr:col>
      <xdr:colOff>515470</xdr:colOff>
      <xdr:row>6</xdr:row>
      <xdr:rowOff>139514</xdr:rowOff>
    </xdr:to>
    <xdr:sp macro="" textlink="">
      <xdr:nvSpPr>
        <xdr:cNvPr id="14" name="TextBox 13">
          <a:extLst>
            <a:ext uri="{FF2B5EF4-FFF2-40B4-BE49-F238E27FC236}">
              <a16:creationId xmlns:a16="http://schemas.microsoft.com/office/drawing/2014/main" id="{6108983E-7FEF-BF6A-7C89-0AFA33486BD7}"/>
            </a:ext>
          </a:extLst>
        </xdr:cNvPr>
        <xdr:cNvSpPr txBox="1"/>
      </xdr:nvSpPr>
      <xdr:spPr>
        <a:xfrm>
          <a:off x="6548155" y="796739"/>
          <a:ext cx="3649197" cy="485775"/>
        </a:xfrm>
        <a:prstGeom prst="roundRect">
          <a:avLst/>
        </a:prstGeom>
        <a:solidFill>
          <a:schemeClr val="accent2">
            <a:lumMod val="60000"/>
            <a:lumOff val="4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Mongolian Baiti" panose="03000500000000000000" pitchFamily="66" charset="0"/>
              <a:cs typeface="Mongolian Baiti" panose="03000500000000000000" pitchFamily="66" charset="0"/>
            </a:rPr>
            <a:t>TOTAL REVENUE-18042</a:t>
          </a:r>
        </a:p>
      </xdr:txBody>
    </xdr:sp>
    <xdr:clientData/>
  </xdr:twoCellAnchor>
  <xdr:twoCellAnchor editAs="oneCell">
    <xdr:from>
      <xdr:col>10</xdr:col>
      <xdr:colOff>507628</xdr:colOff>
      <xdr:row>4</xdr:row>
      <xdr:rowOff>7844</xdr:rowOff>
    </xdr:from>
    <xdr:to>
      <xdr:col>11</xdr:col>
      <xdr:colOff>298077</xdr:colOff>
      <xdr:row>6</xdr:row>
      <xdr:rowOff>45944</xdr:rowOff>
    </xdr:to>
    <xdr:pic>
      <xdr:nvPicPr>
        <xdr:cNvPr id="16" name="Graphic 15" descr="Money">
          <a:extLst>
            <a:ext uri="{FF2B5EF4-FFF2-40B4-BE49-F238E27FC236}">
              <a16:creationId xmlns:a16="http://schemas.microsoft.com/office/drawing/2014/main" id="{CCC773CC-5E21-3995-9712-6304283B8A9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58804" y="769844"/>
          <a:ext cx="395567" cy="419100"/>
        </a:xfrm>
        <a:prstGeom prst="rect">
          <a:avLst/>
        </a:prstGeom>
      </xdr:spPr>
    </xdr:pic>
    <xdr:clientData/>
  </xdr:twoCellAnchor>
  <xdr:twoCellAnchor>
    <xdr:from>
      <xdr:col>16</xdr:col>
      <xdr:colOff>596715</xdr:colOff>
      <xdr:row>4</xdr:row>
      <xdr:rowOff>5914</xdr:rowOff>
    </xdr:from>
    <xdr:to>
      <xdr:col>23</xdr:col>
      <xdr:colOff>14008</xdr:colOff>
      <xdr:row>6</xdr:row>
      <xdr:rowOff>110689</xdr:rowOff>
    </xdr:to>
    <xdr:sp macro="" textlink="">
      <xdr:nvSpPr>
        <xdr:cNvPr id="17" name="TextBox 16">
          <a:extLst>
            <a:ext uri="{FF2B5EF4-FFF2-40B4-BE49-F238E27FC236}">
              <a16:creationId xmlns:a16="http://schemas.microsoft.com/office/drawing/2014/main" id="{F6D09C4C-08D6-459E-78C5-2617EA4085A1}"/>
            </a:ext>
          </a:extLst>
        </xdr:cNvPr>
        <xdr:cNvSpPr txBox="1"/>
      </xdr:nvSpPr>
      <xdr:spPr>
        <a:xfrm>
          <a:off x="10457891" y="790326"/>
          <a:ext cx="3731558" cy="496981"/>
        </a:xfrm>
        <a:prstGeom prst="roundRect">
          <a:avLst/>
        </a:prstGeom>
        <a:solidFill>
          <a:schemeClr val="accent2">
            <a:lumMod val="60000"/>
            <a:lumOff val="4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Mongolian Baiti" panose="03000500000000000000" pitchFamily="66" charset="0"/>
              <a:cs typeface="Mongolian Baiti" panose="03000500000000000000" pitchFamily="66" charset="0"/>
            </a:rPr>
            <a:t>AVERAGE</a:t>
          </a:r>
          <a:r>
            <a:rPr lang="en-US" sz="2000" baseline="0">
              <a:latin typeface="Mongolian Baiti" panose="03000500000000000000" pitchFamily="66" charset="0"/>
              <a:cs typeface="Mongolian Baiti" panose="03000500000000000000" pitchFamily="66" charset="0"/>
            </a:rPr>
            <a:t> FARE-360.84</a:t>
          </a:r>
          <a:endParaRPr lang="en-US" sz="2000">
            <a:latin typeface="Mongolian Baiti" panose="03000500000000000000" pitchFamily="66" charset="0"/>
            <a:cs typeface="Mongolian Baiti" panose="03000500000000000000" pitchFamily="66" charset="0"/>
          </a:endParaRPr>
        </a:p>
      </xdr:txBody>
    </xdr:sp>
    <xdr:clientData/>
  </xdr:twoCellAnchor>
  <xdr:twoCellAnchor editAs="oneCell">
    <xdr:from>
      <xdr:col>17</xdr:col>
      <xdr:colOff>100231</xdr:colOff>
      <xdr:row>4</xdr:row>
      <xdr:rowOff>27081</xdr:rowOff>
    </xdr:from>
    <xdr:to>
      <xdr:col>17</xdr:col>
      <xdr:colOff>442632</xdr:colOff>
      <xdr:row>6</xdr:row>
      <xdr:rowOff>66992</xdr:rowOff>
    </xdr:to>
    <xdr:pic>
      <xdr:nvPicPr>
        <xdr:cNvPr id="19" name="Graphic 18" descr="Bank check">
          <a:extLst>
            <a:ext uri="{FF2B5EF4-FFF2-40B4-BE49-F238E27FC236}">
              <a16:creationId xmlns:a16="http://schemas.microsoft.com/office/drawing/2014/main" id="{3EEEC219-C780-EA6B-E31A-D158BBE9852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77731" y="811493"/>
          <a:ext cx="342401" cy="432117"/>
        </a:xfrm>
        <a:prstGeom prst="rect">
          <a:avLst/>
        </a:prstGeom>
      </xdr:spPr>
    </xdr:pic>
    <xdr:clientData/>
  </xdr:twoCellAnchor>
  <xdr:twoCellAnchor>
    <xdr:from>
      <xdr:col>0</xdr:col>
      <xdr:colOff>74084</xdr:colOff>
      <xdr:row>7</xdr:row>
      <xdr:rowOff>95250</xdr:rowOff>
    </xdr:from>
    <xdr:to>
      <xdr:col>5</xdr:col>
      <xdr:colOff>433917</xdr:colOff>
      <xdr:row>19</xdr:row>
      <xdr:rowOff>48683</xdr:rowOff>
    </xdr:to>
    <xdr:graphicFrame macro="">
      <xdr:nvGraphicFramePr>
        <xdr:cNvPr id="20" name="Chart 19">
          <a:extLst>
            <a:ext uri="{FF2B5EF4-FFF2-40B4-BE49-F238E27FC236}">
              <a16:creationId xmlns:a16="http://schemas.microsoft.com/office/drawing/2014/main" id="{EC9A88B5-96E3-4456-8374-2549CC5B1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455083</xdr:colOff>
      <xdr:row>7</xdr:row>
      <xdr:rowOff>95252</xdr:rowOff>
    </xdr:from>
    <xdr:to>
      <xdr:col>7</xdr:col>
      <xdr:colOff>296334</xdr:colOff>
      <xdr:row>15</xdr:row>
      <xdr:rowOff>84668</xdr:rowOff>
    </xdr:to>
    <mc:AlternateContent xmlns:mc="http://schemas.openxmlformats.org/markup-compatibility/2006" xmlns:a14="http://schemas.microsoft.com/office/drawing/2010/main">
      <mc:Choice Requires="a14">
        <xdr:graphicFrame macro="">
          <xdr:nvGraphicFramePr>
            <xdr:cNvPr id="22" name="City 2">
              <a:extLst>
                <a:ext uri="{FF2B5EF4-FFF2-40B4-BE49-F238E27FC236}">
                  <a16:creationId xmlns:a16="http://schemas.microsoft.com/office/drawing/2014/main" id="{AE968855-3576-474B-BE9B-52212D45946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3503083" y="1428752"/>
              <a:ext cx="1060451" cy="1513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402167</xdr:colOff>
      <xdr:row>7</xdr:row>
      <xdr:rowOff>105833</xdr:rowOff>
    </xdr:from>
    <xdr:to>
      <xdr:col>13</xdr:col>
      <xdr:colOff>516920</xdr:colOff>
      <xdr:row>19</xdr:row>
      <xdr:rowOff>74083</xdr:rowOff>
    </xdr:to>
    <xdr:graphicFrame macro="">
      <xdr:nvGraphicFramePr>
        <xdr:cNvPr id="23" name="Chart 22">
          <a:extLst>
            <a:ext uri="{FF2B5EF4-FFF2-40B4-BE49-F238E27FC236}">
              <a16:creationId xmlns:a16="http://schemas.microsoft.com/office/drawing/2014/main" id="{DC8BA254-57C5-4327-8A8E-859E1CB0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529167</xdr:colOff>
      <xdr:row>7</xdr:row>
      <xdr:rowOff>95250</xdr:rowOff>
    </xdr:from>
    <xdr:to>
      <xdr:col>15</xdr:col>
      <xdr:colOff>518583</xdr:colOff>
      <xdr:row>16</xdr:row>
      <xdr:rowOff>0</xdr:rowOff>
    </xdr:to>
    <xdr:pic>
      <xdr:nvPicPr>
        <xdr:cNvPr id="24" name="chart">
          <a:extLst>
            <a:ext uri="{FF2B5EF4-FFF2-40B4-BE49-F238E27FC236}">
              <a16:creationId xmlns:a16="http://schemas.microsoft.com/office/drawing/2014/main" id="{1F71CA4D-EA20-AB6F-B774-78195AF0BA06}"/>
            </a:ext>
          </a:extLst>
        </xdr:cNvPr>
        <xdr:cNvPicPr>
          <a:picLocks noChangeAspect="1"/>
        </xdr:cNvPicPr>
      </xdr:nvPicPr>
      <xdr:blipFill>
        <a:blip xmlns:r="http://schemas.openxmlformats.org/officeDocument/2006/relationships" r:embed="rId13"/>
        <a:stretch>
          <a:fillRect/>
        </a:stretch>
      </xdr:blipFill>
      <xdr:spPr>
        <a:xfrm>
          <a:off x="8509000" y="1428750"/>
          <a:ext cx="1217083" cy="1619250"/>
        </a:xfrm>
        <a:prstGeom prst="rect">
          <a:avLst/>
        </a:prstGeom>
      </xdr:spPr>
    </xdr:pic>
    <xdr:clientData/>
  </xdr:twoCellAnchor>
  <xdr:twoCellAnchor>
    <xdr:from>
      <xdr:col>16</xdr:col>
      <xdr:colOff>10584</xdr:colOff>
      <xdr:row>7</xdr:row>
      <xdr:rowOff>84666</xdr:rowOff>
    </xdr:from>
    <xdr:to>
      <xdr:col>21</xdr:col>
      <xdr:colOff>328083</xdr:colOff>
      <xdr:row>19</xdr:row>
      <xdr:rowOff>95250</xdr:rowOff>
    </xdr:to>
    <xdr:graphicFrame macro="">
      <xdr:nvGraphicFramePr>
        <xdr:cNvPr id="25" name="Chart 24">
          <a:extLst>
            <a:ext uri="{FF2B5EF4-FFF2-40B4-BE49-F238E27FC236}">
              <a16:creationId xmlns:a16="http://schemas.microsoft.com/office/drawing/2014/main" id="{8C90FB61-0042-436A-8694-BD79443FD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92047</xdr:colOff>
      <xdr:row>4</xdr:row>
      <xdr:rowOff>8404</xdr:rowOff>
    </xdr:from>
    <xdr:to>
      <xdr:col>30</xdr:col>
      <xdr:colOff>453838</xdr:colOff>
      <xdr:row>6</xdr:row>
      <xdr:rowOff>86846</xdr:rowOff>
    </xdr:to>
    <xdr:sp macro="" textlink="">
      <xdr:nvSpPr>
        <xdr:cNvPr id="26" name="TextBox 25">
          <a:extLst>
            <a:ext uri="{FF2B5EF4-FFF2-40B4-BE49-F238E27FC236}">
              <a16:creationId xmlns:a16="http://schemas.microsoft.com/office/drawing/2014/main" id="{3F103F04-BA55-52E2-2B39-CAC149B168A7}"/>
            </a:ext>
          </a:extLst>
        </xdr:cNvPr>
        <xdr:cNvSpPr txBox="1"/>
      </xdr:nvSpPr>
      <xdr:spPr>
        <a:xfrm>
          <a:off x="14267488" y="792816"/>
          <a:ext cx="4676056" cy="470648"/>
        </a:xfrm>
        <a:prstGeom prst="roundRect">
          <a:avLst/>
        </a:prstGeom>
        <a:solidFill>
          <a:schemeClr val="accent2">
            <a:lumMod val="60000"/>
            <a:lumOff val="4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Mongolian Baiti" panose="03000500000000000000" pitchFamily="66" charset="0"/>
              <a:cs typeface="Mongolian Baiti" panose="03000500000000000000" pitchFamily="66" charset="0"/>
            </a:rPr>
            <a:t>AVERAGE CUSTOMER RATING-4.56</a:t>
          </a:r>
        </a:p>
      </xdr:txBody>
    </xdr:sp>
    <xdr:clientData/>
  </xdr:twoCellAnchor>
  <xdr:twoCellAnchor>
    <xdr:from>
      <xdr:col>21</xdr:col>
      <xdr:colOff>493060</xdr:colOff>
      <xdr:row>7</xdr:row>
      <xdr:rowOff>74704</xdr:rowOff>
    </xdr:from>
    <xdr:to>
      <xdr:col>27</xdr:col>
      <xdr:colOff>187113</xdr:colOff>
      <xdr:row>19</xdr:row>
      <xdr:rowOff>41366</xdr:rowOff>
    </xdr:to>
    <xdr:graphicFrame macro="">
      <xdr:nvGraphicFramePr>
        <xdr:cNvPr id="29" name="Chart 28">
          <a:extLst>
            <a:ext uri="{FF2B5EF4-FFF2-40B4-BE49-F238E27FC236}">
              <a16:creationId xmlns:a16="http://schemas.microsoft.com/office/drawing/2014/main" id="{2148BC27-7EE2-4C54-967E-DB1FD2C32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198904</xdr:colOff>
      <xdr:row>7</xdr:row>
      <xdr:rowOff>61632</xdr:rowOff>
    </xdr:from>
    <xdr:to>
      <xdr:col>29</xdr:col>
      <xdr:colOff>131669</xdr:colOff>
      <xdr:row>14</xdr:row>
      <xdr:rowOff>151279</xdr:rowOff>
    </xdr:to>
    <mc:AlternateContent xmlns:mc="http://schemas.openxmlformats.org/markup-compatibility/2006">
      <mc:Choice xmlns:a14="http://schemas.microsoft.com/office/drawing/2010/main" Requires="a14">
        <xdr:graphicFrame macro="">
          <xdr:nvGraphicFramePr>
            <xdr:cNvPr id="30" name="Payment_Mode 2">
              <a:extLst>
                <a:ext uri="{FF2B5EF4-FFF2-40B4-BE49-F238E27FC236}">
                  <a16:creationId xmlns:a16="http://schemas.microsoft.com/office/drawing/2014/main" id="{2206A30B-3767-4315-B4E6-245CB2855B21}"/>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dr:sp macro="" textlink="">
          <xdr:nvSpPr>
            <xdr:cNvPr id="0" name=""/>
            <xdr:cNvSpPr>
              <a:spLocks noTextEdit="1"/>
            </xdr:cNvSpPr>
          </xdr:nvSpPr>
          <xdr:spPr>
            <a:xfrm>
              <a:off x="16839639" y="1434353"/>
              <a:ext cx="1165412" cy="1462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456267</xdr:colOff>
      <xdr:row>20</xdr:row>
      <xdr:rowOff>93196</xdr:rowOff>
    </xdr:from>
    <xdr:to>
      <xdr:col>14</xdr:col>
      <xdr:colOff>52669</xdr:colOff>
      <xdr:row>32</xdr:row>
      <xdr:rowOff>149599</xdr:rowOff>
    </xdr:to>
    <xdr:graphicFrame macro="">
      <xdr:nvGraphicFramePr>
        <xdr:cNvPr id="31" name="Chart 30">
          <a:extLst>
            <a:ext uri="{FF2B5EF4-FFF2-40B4-BE49-F238E27FC236}">
              <a16:creationId xmlns:a16="http://schemas.microsoft.com/office/drawing/2014/main" id="{538A0D85-9A4E-421E-9B08-2FC278A89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224117</xdr:colOff>
      <xdr:row>20</xdr:row>
      <xdr:rowOff>96370</xdr:rowOff>
    </xdr:from>
    <xdr:to>
      <xdr:col>20</xdr:col>
      <xdr:colOff>497540</xdr:colOff>
      <xdr:row>32</xdr:row>
      <xdr:rowOff>124945</xdr:rowOff>
    </xdr:to>
    <xdr:graphicFrame macro="">
      <xdr:nvGraphicFramePr>
        <xdr:cNvPr id="32" name="Chart 31">
          <a:extLst>
            <a:ext uri="{FF2B5EF4-FFF2-40B4-BE49-F238E27FC236}">
              <a16:creationId xmlns:a16="http://schemas.microsoft.com/office/drawing/2014/main" id="{240AC5AD-A1EC-40D1-BDF6-EFA7FA995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7.420734143518" createdVersion="8" refreshedVersion="8" minRefreshableVersion="3" recordCount="50" xr:uid="{2F092018-F4E9-473F-9F15-DFEBF065A9CA}">
  <cacheSource type="worksheet">
    <worksheetSource name="Table1"/>
  </cacheSource>
  <cacheFields count="14">
    <cacheField name="Ride_ID" numFmtId="0">
      <sharedItems/>
    </cacheField>
    <cacheField name="Date" numFmtId="15">
      <sharedItems containsSemiMixedTypes="0" containsNonDate="0" containsDate="1" containsString="0" minDate="2026-08-01T00:00:00" maxDate="2026-08-10T00:00:00" count="9">
        <d v="2026-08-01T00:00:00"/>
        <d v="2026-08-02T00:00:00"/>
        <d v="2026-08-03T00:00:00"/>
        <d v="2026-08-04T00:00:00"/>
        <d v="2026-08-05T00:00:00"/>
        <d v="2026-08-06T00:00:00"/>
        <d v="2026-08-07T00:00:00"/>
        <d v="2026-08-08T00:00:00"/>
        <d v="2026-08-09T00:00:00"/>
      </sharedItems>
    </cacheField>
    <cacheField name="City" numFmtId="0">
      <sharedItems count="7">
        <s v="Bengaluru"/>
        <s v="Mumbai"/>
        <s v="Delhi"/>
        <s v="Hyderabad"/>
        <s v="Chennai"/>
        <s v="Pune"/>
        <s v="Kochi"/>
      </sharedItems>
    </cacheField>
    <cacheField name="Vehicle_Type" numFmtId="0">
      <sharedItems count="4">
        <s v="UberGo"/>
        <s v="UberXL"/>
        <s v="Premier"/>
        <s v="Auto"/>
      </sharedItems>
    </cacheField>
    <cacheField name="Trip_Type" numFmtId="0">
      <sharedItems count="2">
        <s v="City"/>
        <s v="Airport"/>
      </sharedItems>
    </cacheField>
    <cacheField name="Customer_Type" numFmtId="0">
      <sharedItems count="3">
        <s v="Regular"/>
        <s v="New"/>
        <s v="Premium"/>
      </sharedItems>
    </cacheField>
    <cacheField name="Payment_Mode" numFmtId="0">
      <sharedItems count="3">
        <s v="UPI"/>
        <s v="Card"/>
        <s v="Cash"/>
      </sharedItems>
    </cacheField>
    <cacheField name="Distance_KM" numFmtId="0">
      <sharedItems containsSemiMixedTypes="0" containsString="0" containsNumber="1" minValue="3.2" maxValue="28.7"/>
    </cacheField>
    <cacheField name="Fare_INR" numFmtId="0">
      <sharedItems containsSemiMixedTypes="0" containsString="0" containsNumber="1" containsInteger="1" minValue="80" maxValue="890"/>
    </cacheField>
    <cacheField name="Discount_INR" numFmtId="0">
      <sharedItems containsSemiMixedTypes="0" containsString="0" containsNumber="1" containsInteger="1" minValue="0" maxValue="100"/>
    </cacheField>
    <cacheField name="Driver_Rating" numFmtId="0">
      <sharedItems containsSemiMixedTypes="0" containsString="0" containsNumber="1" minValue="4.2" maxValue="4.9000000000000004"/>
    </cacheField>
    <cacheField name="Customer_Rating" numFmtId="0">
      <sharedItems containsSemiMixedTypes="0" containsString="0" containsNumber="1" minValue="4" maxValue="4.9000000000000004"/>
    </cacheField>
    <cacheField name="Trip_Duration_Min" numFmtId="0">
      <sharedItems containsSemiMixedTypes="0" containsString="0" containsNumber="1" containsInteger="1" minValue="14" maxValue="67"/>
    </cacheField>
    <cacheField name="Status" numFmtId="0">
      <sharedItems count="2">
        <s v="Completed"/>
        <s v="Cancelled"/>
      </sharedItems>
    </cacheField>
  </cacheFields>
  <extLst>
    <ext xmlns:x14="http://schemas.microsoft.com/office/spreadsheetml/2009/9/main" uri="{725AE2AE-9491-48be-B2B4-4EB974FC3084}">
      <x14:pivotCacheDefinition pivotCacheId="2021396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UBR001"/>
    <x v="0"/>
    <x v="0"/>
    <x v="0"/>
    <x v="0"/>
    <x v="0"/>
    <x v="0"/>
    <n v="8.5"/>
    <n v="245"/>
    <n v="20"/>
    <n v="4.8"/>
    <n v="4.7"/>
    <n v="28"/>
    <x v="0"/>
  </r>
  <r>
    <s v="UBR002"/>
    <x v="0"/>
    <x v="1"/>
    <x v="0"/>
    <x v="0"/>
    <x v="1"/>
    <x v="1"/>
    <n v="12.2"/>
    <n v="385"/>
    <n v="50"/>
    <n v="4.5999999999999996"/>
    <n v="4.5"/>
    <n v="41"/>
    <x v="0"/>
  </r>
  <r>
    <s v="UBR003"/>
    <x v="0"/>
    <x v="2"/>
    <x v="1"/>
    <x v="1"/>
    <x v="0"/>
    <x v="0"/>
    <n v="24.5"/>
    <n v="720"/>
    <n v="80"/>
    <n v="4.9000000000000004"/>
    <n v="4.8"/>
    <n v="55"/>
    <x v="0"/>
  </r>
  <r>
    <s v="UBR004"/>
    <x v="0"/>
    <x v="3"/>
    <x v="0"/>
    <x v="0"/>
    <x v="0"/>
    <x v="2"/>
    <n v="6.8"/>
    <n v="190"/>
    <n v="0"/>
    <n v="4.5"/>
    <n v="4.5999999999999996"/>
    <n v="22"/>
    <x v="0"/>
  </r>
  <r>
    <s v="UBR005"/>
    <x v="0"/>
    <x v="4"/>
    <x v="2"/>
    <x v="0"/>
    <x v="2"/>
    <x v="1"/>
    <n v="10.4"/>
    <n v="410"/>
    <n v="30"/>
    <n v="4.9000000000000004"/>
    <n v="4.9000000000000004"/>
    <n v="35"/>
    <x v="0"/>
  </r>
  <r>
    <s v="UBR006"/>
    <x v="1"/>
    <x v="5"/>
    <x v="0"/>
    <x v="0"/>
    <x v="1"/>
    <x v="0"/>
    <n v="7.2"/>
    <n v="215"/>
    <n v="25"/>
    <n v="4.7"/>
    <n v="4.4000000000000004"/>
    <n v="25"/>
    <x v="0"/>
  </r>
  <r>
    <s v="UBR007"/>
    <x v="1"/>
    <x v="0"/>
    <x v="3"/>
    <x v="0"/>
    <x v="0"/>
    <x v="0"/>
    <n v="4.5"/>
    <n v="105"/>
    <n v="10"/>
    <n v="4.5999999999999996"/>
    <n v="4.5"/>
    <n v="18"/>
    <x v="0"/>
  </r>
  <r>
    <s v="UBR008"/>
    <x v="1"/>
    <x v="1"/>
    <x v="1"/>
    <x v="1"/>
    <x v="2"/>
    <x v="1"/>
    <n v="28.7"/>
    <n v="890"/>
    <n v="100"/>
    <n v="4.8"/>
    <n v="4.9000000000000004"/>
    <n v="67"/>
    <x v="0"/>
  </r>
  <r>
    <s v="UBR009"/>
    <x v="1"/>
    <x v="2"/>
    <x v="0"/>
    <x v="0"/>
    <x v="0"/>
    <x v="2"/>
    <n v="9.8000000000000007"/>
    <n v="290"/>
    <n v="0"/>
    <n v="4.4000000000000004"/>
    <n v="4.2"/>
    <n v="31"/>
    <x v="0"/>
  </r>
  <r>
    <s v="UBR010"/>
    <x v="1"/>
    <x v="6"/>
    <x v="0"/>
    <x v="1"/>
    <x v="1"/>
    <x v="0"/>
    <n v="18.5"/>
    <n v="540"/>
    <n v="60"/>
    <n v="4.7"/>
    <n v="4.5999999999999996"/>
    <n v="44"/>
    <x v="0"/>
  </r>
  <r>
    <s v="UBR011"/>
    <x v="2"/>
    <x v="0"/>
    <x v="2"/>
    <x v="0"/>
    <x v="2"/>
    <x v="1"/>
    <n v="14.2"/>
    <n v="560"/>
    <n v="40"/>
    <n v="4.9000000000000004"/>
    <n v="4.8"/>
    <n v="43"/>
    <x v="0"/>
  </r>
  <r>
    <s v="UBR012"/>
    <x v="2"/>
    <x v="1"/>
    <x v="0"/>
    <x v="0"/>
    <x v="0"/>
    <x v="0"/>
    <n v="5.7"/>
    <n v="175"/>
    <n v="15"/>
    <n v="4.5999999999999996"/>
    <n v="4.7"/>
    <n v="20"/>
    <x v="0"/>
  </r>
  <r>
    <s v="UBR013"/>
    <x v="2"/>
    <x v="2"/>
    <x v="3"/>
    <x v="0"/>
    <x v="1"/>
    <x v="2"/>
    <n v="3.8"/>
    <n v="90"/>
    <n v="0"/>
    <n v="4.3"/>
    <n v="4.0999999999999996"/>
    <n v="16"/>
    <x v="0"/>
  </r>
  <r>
    <s v="UBR014"/>
    <x v="2"/>
    <x v="3"/>
    <x v="1"/>
    <x v="1"/>
    <x v="0"/>
    <x v="1"/>
    <n v="22.4"/>
    <n v="680"/>
    <n v="70"/>
    <n v="4.8"/>
    <n v="4.7"/>
    <n v="52"/>
    <x v="0"/>
  </r>
  <r>
    <s v="UBR015"/>
    <x v="2"/>
    <x v="4"/>
    <x v="0"/>
    <x v="0"/>
    <x v="0"/>
    <x v="0"/>
    <n v="8.9"/>
    <n v="260"/>
    <n v="20"/>
    <n v="4.7"/>
    <n v="4.5999999999999996"/>
    <n v="29"/>
    <x v="0"/>
  </r>
  <r>
    <s v="UBR016"/>
    <x v="2"/>
    <x v="5"/>
    <x v="2"/>
    <x v="0"/>
    <x v="2"/>
    <x v="1"/>
    <n v="11.5"/>
    <n v="450"/>
    <n v="35"/>
    <n v="4.9000000000000004"/>
    <n v="4.9000000000000004"/>
    <n v="37"/>
    <x v="0"/>
  </r>
  <r>
    <s v="UBR017"/>
    <x v="3"/>
    <x v="0"/>
    <x v="0"/>
    <x v="0"/>
    <x v="1"/>
    <x v="0"/>
    <n v="6.4"/>
    <n v="185"/>
    <n v="20"/>
    <n v="4.5"/>
    <n v="4.3"/>
    <n v="23"/>
    <x v="1"/>
  </r>
  <r>
    <s v="UBR018"/>
    <x v="3"/>
    <x v="1"/>
    <x v="0"/>
    <x v="0"/>
    <x v="0"/>
    <x v="2"/>
    <n v="10.6"/>
    <n v="320"/>
    <n v="0"/>
    <n v="4.7"/>
    <n v="4.5"/>
    <n v="34"/>
    <x v="0"/>
  </r>
  <r>
    <s v="UBR019"/>
    <x v="3"/>
    <x v="2"/>
    <x v="2"/>
    <x v="1"/>
    <x v="2"/>
    <x v="1"/>
    <n v="26.3"/>
    <n v="840"/>
    <n v="90"/>
    <n v="4.9000000000000004"/>
    <n v="4.8"/>
    <n v="61"/>
    <x v="0"/>
  </r>
  <r>
    <s v="UBR020"/>
    <x v="3"/>
    <x v="6"/>
    <x v="3"/>
    <x v="0"/>
    <x v="0"/>
    <x v="0"/>
    <n v="5.0999999999999996"/>
    <n v="115"/>
    <n v="10"/>
    <n v="4.5"/>
    <n v="4.4000000000000004"/>
    <n v="19"/>
    <x v="0"/>
  </r>
  <r>
    <s v="UBR021"/>
    <x v="3"/>
    <x v="3"/>
    <x v="0"/>
    <x v="0"/>
    <x v="0"/>
    <x v="0"/>
    <n v="9.3000000000000007"/>
    <n v="275"/>
    <n v="25"/>
    <n v="4.5999999999999996"/>
    <n v="4.7"/>
    <n v="30"/>
    <x v="0"/>
  </r>
  <r>
    <s v="UBR022"/>
    <x v="3"/>
    <x v="4"/>
    <x v="1"/>
    <x v="1"/>
    <x v="1"/>
    <x v="1"/>
    <n v="21.8"/>
    <n v="650"/>
    <n v="75"/>
    <n v="4.7"/>
    <n v="4.5"/>
    <n v="50"/>
    <x v="0"/>
  </r>
  <r>
    <s v="UBR023"/>
    <x v="4"/>
    <x v="5"/>
    <x v="0"/>
    <x v="0"/>
    <x v="0"/>
    <x v="2"/>
    <n v="7.6"/>
    <n v="225"/>
    <n v="0"/>
    <n v="4.4000000000000004"/>
    <n v="4.3"/>
    <n v="26"/>
    <x v="0"/>
  </r>
  <r>
    <s v="UBR024"/>
    <x v="4"/>
    <x v="0"/>
    <x v="3"/>
    <x v="0"/>
    <x v="1"/>
    <x v="0"/>
    <n v="3.2"/>
    <n v="80"/>
    <n v="5"/>
    <n v="4.5"/>
    <n v="4.2"/>
    <n v="14"/>
    <x v="0"/>
  </r>
  <r>
    <s v="UBR025"/>
    <x v="4"/>
    <x v="1"/>
    <x v="2"/>
    <x v="0"/>
    <x v="2"/>
    <x v="1"/>
    <n v="13.7"/>
    <n v="525"/>
    <n v="45"/>
    <n v="4.9000000000000004"/>
    <n v="4.9000000000000004"/>
    <n v="42"/>
    <x v="0"/>
  </r>
  <r>
    <s v="UBR026"/>
    <x v="4"/>
    <x v="2"/>
    <x v="0"/>
    <x v="0"/>
    <x v="0"/>
    <x v="0"/>
    <n v="11.4"/>
    <n v="335"/>
    <n v="30"/>
    <n v="4.8"/>
    <n v="4.7"/>
    <n v="36"/>
    <x v="0"/>
  </r>
  <r>
    <s v="UBR027"/>
    <x v="4"/>
    <x v="3"/>
    <x v="0"/>
    <x v="0"/>
    <x v="1"/>
    <x v="2"/>
    <n v="5.9"/>
    <n v="165"/>
    <n v="0"/>
    <n v="4.3"/>
    <n v="4.0999999999999996"/>
    <n v="21"/>
    <x v="1"/>
  </r>
  <r>
    <s v="UBR028"/>
    <x v="4"/>
    <x v="4"/>
    <x v="0"/>
    <x v="0"/>
    <x v="0"/>
    <x v="0"/>
    <n v="8.1999999999999993"/>
    <n v="240"/>
    <n v="20"/>
    <n v="4.5999999999999996"/>
    <n v="4.5"/>
    <n v="27"/>
    <x v="0"/>
  </r>
  <r>
    <s v="UBR029"/>
    <x v="5"/>
    <x v="6"/>
    <x v="2"/>
    <x v="1"/>
    <x v="2"/>
    <x v="1"/>
    <n v="19.600000000000001"/>
    <n v="610"/>
    <n v="60"/>
    <n v="4.8"/>
    <n v="4.8"/>
    <n v="47"/>
    <x v="0"/>
  </r>
  <r>
    <s v="UBR030"/>
    <x v="5"/>
    <x v="5"/>
    <x v="3"/>
    <x v="0"/>
    <x v="0"/>
    <x v="0"/>
    <n v="4.2"/>
    <n v="95"/>
    <n v="5"/>
    <n v="4.5"/>
    <n v="4.4000000000000004"/>
    <n v="17"/>
    <x v="0"/>
  </r>
  <r>
    <s v="UBR031"/>
    <x v="5"/>
    <x v="0"/>
    <x v="1"/>
    <x v="1"/>
    <x v="0"/>
    <x v="1"/>
    <n v="25.8"/>
    <n v="795"/>
    <n v="85"/>
    <n v="4.9000000000000004"/>
    <n v="4.8"/>
    <n v="59"/>
    <x v="0"/>
  </r>
  <r>
    <s v="UBR032"/>
    <x v="5"/>
    <x v="1"/>
    <x v="0"/>
    <x v="0"/>
    <x v="1"/>
    <x v="0"/>
    <n v="9.1"/>
    <n v="270"/>
    <n v="30"/>
    <n v="4.5999999999999996"/>
    <n v="4.5"/>
    <n v="30"/>
    <x v="0"/>
  </r>
  <r>
    <s v="UBR033"/>
    <x v="5"/>
    <x v="2"/>
    <x v="0"/>
    <x v="0"/>
    <x v="0"/>
    <x v="2"/>
    <n v="6.7"/>
    <n v="195"/>
    <n v="0"/>
    <n v="4.4000000000000004"/>
    <n v="4.3"/>
    <n v="23"/>
    <x v="0"/>
  </r>
  <r>
    <s v="UBR034"/>
    <x v="6"/>
    <x v="3"/>
    <x v="2"/>
    <x v="0"/>
    <x v="2"/>
    <x v="1"/>
    <n v="12.8"/>
    <n v="490"/>
    <n v="40"/>
    <n v="4.9000000000000004"/>
    <n v="4.9000000000000004"/>
    <n v="39"/>
    <x v="0"/>
  </r>
  <r>
    <s v="UBR035"/>
    <x v="6"/>
    <x v="4"/>
    <x v="0"/>
    <x v="0"/>
    <x v="0"/>
    <x v="0"/>
    <n v="7.5"/>
    <n v="220"/>
    <n v="15"/>
    <n v="4.7"/>
    <n v="4.5999999999999996"/>
    <n v="25"/>
    <x v="0"/>
  </r>
  <r>
    <s v="UBR036"/>
    <x v="6"/>
    <x v="5"/>
    <x v="1"/>
    <x v="1"/>
    <x v="0"/>
    <x v="1"/>
    <n v="23.6"/>
    <n v="705"/>
    <n v="70"/>
    <n v="4.8"/>
    <n v="4.7"/>
    <n v="54"/>
    <x v="0"/>
  </r>
  <r>
    <s v="UBR037"/>
    <x v="6"/>
    <x v="0"/>
    <x v="0"/>
    <x v="0"/>
    <x v="1"/>
    <x v="0"/>
    <n v="5.3"/>
    <n v="155"/>
    <n v="20"/>
    <n v="4.5"/>
    <n v="4.4000000000000004"/>
    <n v="19"/>
    <x v="0"/>
  </r>
  <r>
    <s v="UBR038"/>
    <x v="6"/>
    <x v="1"/>
    <x v="3"/>
    <x v="0"/>
    <x v="0"/>
    <x v="2"/>
    <n v="4.7"/>
    <n v="110"/>
    <n v="0"/>
    <n v="4.4000000000000004"/>
    <n v="4.2"/>
    <n v="18"/>
    <x v="1"/>
  </r>
  <r>
    <s v="UBR039"/>
    <x v="6"/>
    <x v="2"/>
    <x v="0"/>
    <x v="0"/>
    <x v="2"/>
    <x v="1"/>
    <n v="10.9"/>
    <n v="330"/>
    <n v="25"/>
    <n v="4.8"/>
    <n v="4.7"/>
    <n v="35"/>
    <x v="0"/>
  </r>
  <r>
    <s v="UBR040"/>
    <x v="6"/>
    <x v="6"/>
    <x v="0"/>
    <x v="1"/>
    <x v="0"/>
    <x v="0"/>
    <n v="16.8"/>
    <n v="495"/>
    <n v="50"/>
    <n v="4.7"/>
    <n v="4.5999999999999996"/>
    <n v="40"/>
    <x v="0"/>
  </r>
  <r>
    <s v="UBR041"/>
    <x v="7"/>
    <x v="3"/>
    <x v="3"/>
    <x v="0"/>
    <x v="1"/>
    <x v="0"/>
    <n v="3.9"/>
    <n v="92"/>
    <n v="5"/>
    <n v="4.5"/>
    <n v="4.3"/>
    <n v="15"/>
    <x v="0"/>
  </r>
  <r>
    <s v="UBR042"/>
    <x v="7"/>
    <x v="4"/>
    <x v="2"/>
    <x v="0"/>
    <x v="2"/>
    <x v="1"/>
    <n v="15.2"/>
    <n v="575"/>
    <n v="50"/>
    <n v="4.9000000000000004"/>
    <n v="4.8"/>
    <n v="45"/>
    <x v="0"/>
  </r>
  <r>
    <s v="UBR043"/>
    <x v="7"/>
    <x v="5"/>
    <x v="0"/>
    <x v="0"/>
    <x v="0"/>
    <x v="2"/>
    <n v="8.8000000000000007"/>
    <n v="255"/>
    <n v="0"/>
    <n v="4.5999999999999996"/>
    <n v="4.5"/>
    <n v="28"/>
    <x v="0"/>
  </r>
  <r>
    <s v="UBR044"/>
    <x v="7"/>
    <x v="0"/>
    <x v="0"/>
    <x v="0"/>
    <x v="0"/>
    <x v="0"/>
    <n v="10.1"/>
    <n v="300"/>
    <n v="25"/>
    <n v="4.8"/>
    <n v="4.7"/>
    <n v="33"/>
    <x v="0"/>
  </r>
  <r>
    <s v="UBR045"/>
    <x v="7"/>
    <x v="1"/>
    <x v="1"/>
    <x v="1"/>
    <x v="2"/>
    <x v="1"/>
    <n v="27.4"/>
    <n v="850"/>
    <n v="100"/>
    <n v="4.9000000000000004"/>
    <n v="4.9000000000000004"/>
    <n v="64"/>
    <x v="0"/>
  </r>
  <r>
    <s v="UBR046"/>
    <x v="7"/>
    <x v="2"/>
    <x v="3"/>
    <x v="0"/>
    <x v="1"/>
    <x v="2"/>
    <n v="4.0999999999999996"/>
    <n v="95"/>
    <n v="0"/>
    <n v="4.2"/>
    <n v="4"/>
    <n v="17"/>
    <x v="0"/>
  </r>
  <r>
    <s v="UBR047"/>
    <x v="8"/>
    <x v="3"/>
    <x v="0"/>
    <x v="0"/>
    <x v="0"/>
    <x v="0"/>
    <n v="7.9"/>
    <n v="230"/>
    <n v="20"/>
    <n v="4.7"/>
    <n v="4.5999999999999996"/>
    <n v="26"/>
    <x v="0"/>
  </r>
  <r>
    <s v="UBR048"/>
    <x v="8"/>
    <x v="4"/>
    <x v="1"/>
    <x v="1"/>
    <x v="0"/>
    <x v="1"/>
    <n v="20.5"/>
    <n v="625"/>
    <n v="65"/>
    <n v="4.8"/>
    <n v="4.7"/>
    <n v="49"/>
    <x v="0"/>
  </r>
  <r>
    <s v="UBR049"/>
    <x v="8"/>
    <x v="6"/>
    <x v="3"/>
    <x v="0"/>
    <x v="1"/>
    <x v="0"/>
    <n v="4.8"/>
    <n v="105"/>
    <n v="10"/>
    <n v="4.5999999999999996"/>
    <n v="4.4000000000000004"/>
    <n v="18"/>
    <x v="0"/>
  </r>
  <r>
    <s v="UBR050"/>
    <x v="8"/>
    <x v="5"/>
    <x v="0"/>
    <x v="0"/>
    <x v="0"/>
    <x v="0"/>
    <n v="9.6"/>
    <n v="285"/>
    <n v="25"/>
    <n v="4.7"/>
    <n v="4.5999999999999996"/>
    <n v="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EFC1C-00AE-4ADE-8166-DBBA181418D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6:H20" firstHeaderRow="1" firstDataRow="1" firstDataCol="1"/>
  <pivotFields count="14">
    <pivotField dataField="1" showAll="0"/>
    <pivotField numFmtId="15"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Ride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9727C-13E2-4EBE-9BF4-36527C3C5B8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4:E17" firstHeaderRow="1" firstDataRow="1" firstDataCol="1"/>
  <pivotFields count="14">
    <pivotField showAll="0"/>
    <pivotField numFmtId="15"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Fare_INR" fld="8"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718C7-7AA6-46A5-A102-E6B5512B566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8" firstHeaderRow="1" firstDataRow="1" firstDataCol="1"/>
  <pivotFields count="14">
    <pivotField dataField="1" showAll="0"/>
    <pivotField numFmtId="15"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Rid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0E97F0-4255-4365-9B2B-3EE947C8A3E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8" firstHeaderRow="1" firstDataRow="1" firstDataCol="1"/>
  <pivotFields count="14">
    <pivotField showAll="0"/>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Customer_Rating" fld="11"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A215C4-B972-4C19-AC97-2DC2FA5BF9C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3" firstHeaderRow="1" firstDataRow="1" firstDataCol="1"/>
  <pivotFields count="14">
    <pivotField showAll="0"/>
    <pivotField axis="axisRow" numFmtId="15"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Fare_INR" fld="8"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109E28-AA77-4F52-8099-F94D021E8BC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4">
    <pivotField showAll="0"/>
    <pivotField numFmtId="15" showAll="0"/>
    <pivotField axis="axisRow" showAll="0">
      <items count="8">
        <item x="0"/>
        <item x="4"/>
        <item x="2"/>
        <item x="3"/>
        <item x="6"/>
        <item x="1"/>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Fare_INR"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01FBBA-DC3E-4F91-A958-BF885C83B18F}"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1:K14" firstHeaderRow="1" firstDataRow="1" firstDataCol="1"/>
  <pivotFields count="14">
    <pivotField dataField="1" showAll="0"/>
    <pivotField numFmtId="15"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Count of Ride_ID" fld="0"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0"/>
          </reference>
        </references>
      </pivotArea>
    </chartFormat>
    <chartFormat chart="3" format="2">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E864D6-1B7E-4E49-B10E-F868FB14B23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14">
    <pivotField dataField="1" showAll="0"/>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id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14EAEB-9F32-4C3B-9041-355850A44628}" sourceName="City">
  <pivotTables>
    <pivotTable tabId="3" name="PivotTable1"/>
  </pivotTables>
  <data>
    <tabular pivotCacheId="2021396151">
      <items count="7">
        <i x="0" s="1"/>
        <i x="4" s="1"/>
        <i x="2" s="1"/>
        <i x="3" s="1"/>
        <i x="6"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5073E76-21FF-48CC-BA5F-3B1690C2E72D}" sourceName="Date">
  <pivotTables>
    <pivotTable tabId="3" name="PivotTable3"/>
  </pivotTables>
  <data>
    <tabular pivotCacheId="2021396151">
      <items count="9">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A3F73FBB-56F9-4405-B194-2DE30EE04765}" sourceName="Vehicle_Type">
  <pivotTables>
    <pivotTable tabId="3" name="PivotTable7"/>
  </pivotTables>
  <data>
    <tabular pivotCacheId="2021396151">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C45938A-0436-498D-BB6F-51E89B2C5131}" sourceName="Payment_Mode">
  <pivotTables>
    <pivotTable tabId="3" name="PivotTable4"/>
  </pivotTables>
  <data>
    <tabular pivotCacheId="2021396151">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1" xr10:uid="{94E982C3-1EAC-4DD8-A11A-502E3EFEA90F}" sourceName="Vehicle_Type">
  <pivotTables>
    <pivotTable tabId="3" name="PivotTable2"/>
  </pivotTables>
  <data>
    <tabular pivotCacheId="202139615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D3C23FD-F05F-4224-AC90-ED1C5A258443}" cache="Slicer_City" caption="City" startItem="1" style="SlicerStyleLight2" rowHeight="257175"/>
  <slicer name="Date" xr10:uid="{4175910B-4542-4B18-B891-0EBC0ACC9B57}" cache="Slicer_Date" caption="Date" startItem="2" style="SlicerStyleLight2" rowHeight="257175"/>
  <slicer name="Vehicle_Type" xr10:uid="{8EF547EA-790C-498B-B35D-D0274F5B7F42}" cache="Slicer_Vehicle_Type" caption="Vehicle_Type" style="SlicerStyleLight2" rowHeight="257175"/>
  <slicer name="Payment_Mode 1" xr10:uid="{49B26AF7-FF23-4B47-B702-588E29DA5725}" cache="Slicer_Payment_Mode" caption="Payment_Mode" style="SlicerStyleLight2" rowHeight="257175"/>
  <slicer name="Vehicle_Type 1" xr10:uid="{C97E1FE3-B747-4A61-8632-A9AD601FC8F7}" cache="Slicer_Vehicle_Type1" caption="Vehicle_Type"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ED3B5EC0-BA4D-4C92-B780-AF229A02F0FD}" cache="Slicer_City" caption="City" startItem="1" style="SlicerStyleLight2" rowHeight="257175"/>
  <slicer name="Payment_Mode 2" xr10:uid="{5A8064BB-75D7-435A-9DB9-1B0517609060}" cache="Slicer_Payment_Mode" caption="Payment_Mode"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D5157-3629-4CEC-97A2-3D6442E68288}" name="Table1" displayName="Table1" ref="A1:N51" totalsRowShown="0" headerRowDxfId="16" dataDxfId="15">
  <autoFilter ref="A1:N51" xr:uid="{5C1D5157-3629-4CEC-97A2-3D6442E68288}"/>
  <tableColumns count="14">
    <tableColumn id="1" xr3:uid="{80B128B2-8915-4346-8D3E-E4EFC037DD19}" name="Ride_ID" dataDxfId="14"/>
    <tableColumn id="2" xr3:uid="{A26360F5-95CE-44BE-B27A-F66ED55A9D3A}" name="Date" dataDxfId="13"/>
    <tableColumn id="3" xr3:uid="{AF636462-4AC9-4FFA-8DFE-D9B26B546BEF}" name="City" dataDxfId="12"/>
    <tableColumn id="4" xr3:uid="{0DD7A5A6-9B99-4A07-9002-D7242A996BD0}" name="Vehicle_Type" dataDxfId="11"/>
    <tableColumn id="5" xr3:uid="{64F73C72-1D24-4B28-B3C1-AEE36255360D}" name="Trip_Type" dataDxfId="10"/>
    <tableColumn id="6" xr3:uid="{1B2F2B87-8EED-4A6C-B47F-CA1412B1B4B6}" name="Customer_Type" dataDxfId="9"/>
    <tableColumn id="7" xr3:uid="{6B6F2E7A-8031-4F20-B2B1-596D59750853}" name="Payment_Mode" dataDxfId="8"/>
    <tableColumn id="8" xr3:uid="{A5BC2041-0B51-46C5-9729-3A9C0163C4C3}" name="Distance_KM" dataDxfId="7"/>
    <tableColumn id="9" xr3:uid="{04864E72-E9CB-48DE-BC41-83BC4D4CF8B6}" name="Fare_INR" dataDxfId="6"/>
    <tableColumn id="10" xr3:uid="{D27BB99E-BBD7-4FBA-8D9E-9D0318BDA1E6}" name="Discount_INR" dataDxfId="5"/>
    <tableColumn id="11" xr3:uid="{665BEDFC-1AE7-4C85-8DB7-76074A936073}" name="Driver_Rating" dataDxfId="4"/>
    <tableColumn id="12" xr3:uid="{ED6E49A3-3DB8-49C9-9C3B-DF64F6ABF40F}" name="Customer_Rating" dataDxfId="3"/>
    <tableColumn id="13" xr3:uid="{CBF8C2E0-F6A6-46B1-AFE6-64044D7B5773}" name="Trip_Duration_Min" dataDxfId="2"/>
    <tableColumn id="14" xr3:uid="{C2BDA8D8-065F-4D37-A5BB-15582558A0C9}" name="Status" dataDxfId="1"/>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51EF1C-E348-44FE-A5A3-9CC70BF7EDE2}" name="Table2" displayName="Table2" ref="C1:C6" totalsRowShown="0" tableBorderDxfId="0">
  <autoFilter ref="C1:C6" xr:uid="{0151EF1C-E348-44FE-A5A3-9CC70BF7EDE2}"/>
  <tableColumns count="1">
    <tableColumn id="1" xr3:uid="{6B4931CF-837C-4D87-9F67-A6B980749644}" name="ANSWER"/>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B7BA-FD7A-425D-96EA-FB2537E3980E}">
  <dimension ref="A2:S34"/>
  <sheetViews>
    <sheetView topLeftCell="F16" zoomScale="70" zoomScaleNormal="70" workbookViewId="0">
      <selection activeCell="Y6" sqref="Y6"/>
    </sheetView>
  </sheetViews>
  <sheetFormatPr defaultRowHeight="15" x14ac:dyDescent="0.25"/>
  <cols>
    <col min="1" max="1" width="17.85546875" bestFit="1" customWidth="1"/>
    <col min="2" max="2" width="20.7109375" bestFit="1" customWidth="1"/>
    <col min="4" max="4" width="17.85546875" bestFit="1" customWidth="1"/>
    <col min="5" max="5" width="21" bestFit="1" customWidth="1"/>
    <col min="7" max="7" width="17.85546875" bestFit="1" customWidth="1"/>
    <col min="8" max="8" width="20.7109375" bestFit="1" customWidth="1"/>
    <col min="10" max="10" width="17.85546875" bestFit="1" customWidth="1"/>
    <col min="11" max="11" width="30.140625" bestFit="1" customWidth="1"/>
  </cols>
  <sheetData>
    <row r="2" spans="1:19" x14ac:dyDescent="0.25">
      <c r="A2" s="16">
        <v>1</v>
      </c>
      <c r="D2" s="16">
        <v>2</v>
      </c>
      <c r="G2" s="16">
        <v>3</v>
      </c>
      <c r="J2" s="16">
        <v>7</v>
      </c>
      <c r="M2" s="19"/>
      <c r="O2" s="17">
        <v>7</v>
      </c>
    </row>
    <row r="3" spans="1:19" x14ac:dyDescent="0.25">
      <c r="A3" s="13" t="s">
        <v>120</v>
      </c>
      <c r="B3" t="s">
        <v>91</v>
      </c>
      <c r="D3" s="13" t="s">
        <v>120</v>
      </c>
      <c r="E3" t="s">
        <v>87</v>
      </c>
      <c r="G3" s="13" t="s">
        <v>120</v>
      </c>
      <c r="H3" t="s">
        <v>91</v>
      </c>
      <c r="J3" s="13" t="s">
        <v>120</v>
      </c>
      <c r="K3" t="s">
        <v>122</v>
      </c>
    </row>
    <row r="4" spans="1:19" x14ac:dyDescent="0.25">
      <c r="A4" s="14" t="s">
        <v>15</v>
      </c>
      <c r="B4">
        <v>2425</v>
      </c>
      <c r="D4" s="14" t="s">
        <v>38</v>
      </c>
      <c r="E4">
        <v>9</v>
      </c>
      <c r="G4" s="15">
        <v>46235</v>
      </c>
      <c r="H4">
        <v>1950</v>
      </c>
      <c r="J4" s="14" t="s">
        <v>38</v>
      </c>
      <c r="K4">
        <v>38.5</v>
      </c>
      <c r="L4" s="17">
        <v>7</v>
      </c>
    </row>
    <row r="5" spans="1:19" x14ac:dyDescent="0.25">
      <c r="A5" s="14" t="s">
        <v>32</v>
      </c>
      <c r="B5">
        <v>2980</v>
      </c>
      <c r="D5" s="14" t="s">
        <v>33</v>
      </c>
      <c r="E5">
        <v>8</v>
      </c>
      <c r="G5" s="15">
        <v>46236</v>
      </c>
      <c r="H5">
        <v>2040</v>
      </c>
      <c r="J5" s="14" t="s">
        <v>33</v>
      </c>
      <c r="K5">
        <v>38.799999999999997</v>
      </c>
    </row>
    <row r="6" spans="1:19" x14ac:dyDescent="0.25">
      <c r="A6" s="14" t="s">
        <v>25</v>
      </c>
      <c r="B6">
        <v>2895</v>
      </c>
      <c r="D6" s="14" t="s">
        <v>16</v>
      </c>
      <c r="E6">
        <v>25</v>
      </c>
      <c r="G6" s="15">
        <v>46237</v>
      </c>
      <c r="H6">
        <v>2215</v>
      </c>
      <c r="J6" s="14" t="s">
        <v>16</v>
      </c>
      <c r="K6">
        <v>112.89999999999999</v>
      </c>
    </row>
    <row r="7" spans="1:19" x14ac:dyDescent="0.25">
      <c r="A7" s="14" t="s">
        <v>29</v>
      </c>
      <c r="B7">
        <v>2122</v>
      </c>
      <c r="D7" s="14" t="s">
        <v>26</v>
      </c>
      <c r="E7">
        <v>8</v>
      </c>
      <c r="G7" s="15">
        <v>46238</v>
      </c>
      <c r="H7">
        <v>2385</v>
      </c>
      <c r="J7" s="14" t="s">
        <v>26</v>
      </c>
      <c r="K7">
        <v>38</v>
      </c>
    </row>
    <row r="8" spans="1:19" x14ac:dyDescent="0.25">
      <c r="A8" s="14" t="s">
        <v>42</v>
      </c>
      <c r="B8">
        <v>1865</v>
      </c>
      <c r="D8" s="14" t="s">
        <v>121</v>
      </c>
      <c r="E8">
        <v>50</v>
      </c>
      <c r="G8" s="15">
        <v>46239</v>
      </c>
      <c r="H8">
        <v>1570</v>
      </c>
      <c r="J8" s="14" t="s">
        <v>121</v>
      </c>
      <c r="K8">
        <v>228.2</v>
      </c>
    </row>
    <row r="9" spans="1:19" x14ac:dyDescent="0.25">
      <c r="A9" s="14" t="s">
        <v>21</v>
      </c>
      <c r="B9">
        <v>3525</v>
      </c>
      <c r="G9" s="15">
        <v>46240</v>
      </c>
      <c r="H9">
        <v>1965</v>
      </c>
    </row>
    <row r="10" spans="1:19" x14ac:dyDescent="0.25">
      <c r="A10" s="14" t="s">
        <v>36</v>
      </c>
      <c r="B10">
        <v>2230</v>
      </c>
      <c r="G10" s="15">
        <v>46241</v>
      </c>
      <c r="H10">
        <v>2505</v>
      </c>
      <c r="J10" s="16">
        <v>8</v>
      </c>
    </row>
    <row r="11" spans="1:19" x14ac:dyDescent="0.25">
      <c r="A11" s="14" t="s">
        <v>121</v>
      </c>
      <c r="B11">
        <v>18042</v>
      </c>
      <c r="G11" s="15">
        <v>46242</v>
      </c>
      <c r="H11">
        <v>2167</v>
      </c>
      <c r="J11" s="13" t="s">
        <v>120</v>
      </c>
      <c r="K11" t="s">
        <v>87</v>
      </c>
    </row>
    <row r="12" spans="1:19" x14ac:dyDescent="0.25">
      <c r="G12" s="15">
        <v>46243</v>
      </c>
      <c r="H12">
        <v>1245</v>
      </c>
      <c r="J12" s="14" t="s">
        <v>50</v>
      </c>
      <c r="K12">
        <v>3</v>
      </c>
    </row>
    <row r="13" spans="1:19" x14ac:dyDescent="0.25">
      <c r="A13" s="16">
        <v>4</v>
      </c>
      <c r="D13" s="16">
        <v>5</v>
      </c>
      <c r="G13" s="15" t="s">
        <v>121</v>
      </c>
      <c r="H13">
        <v>18042</v>
      </c>
      <c r="J13" s="14" t="s">
        <v>19</v>
      </c>
      <c r="K13">
        <v>47</v>
      </c>
    </row>
    <row r="14" spans="1:19" x14ac:dyDescent="0.25">
      <c r="A14" s="13" t="s">
        <v>120</v>
      </c>
      <c r="B14" t="s">
        <v>87</v>
      </c>
      <c r="D14" s="13" t="s">
        <v>120</v>
      </c>
      <c r="E14" t="s">
        <v>91</v>
      </c>
      <c r="J14" s="14" t="s">
        <v>121</v>
      </c>
      <c r="K14">
        <v>50</v>
      </c>
    </row>
    <row r="15" spans="1:19" x14ac:dyDescent="0.25">
      <c r="A15" s="14" t="s">
        <v>23</v>
      </c>
      <c r="B15">
        <v>17</v>
      </c>
      <c r="D15" s="14" t="s">
        <v>27</v>
      </c>
      <c r="E15">
        <v>8400</v>
      </c>
      <c r="G15" s="15"/>
      <c r="H15" s="16">
        <v>6</v>
      </c>
      <c r="J15" s="19"/>
      <c r="M15" s="19"/>
    </row>
    <row r="16" spans="1:19" x14ac:dyDescent="0.25">
      <c r="A16" s="14" t="s">
        <v>30</v>
      </c>
      <c r="B16">
        <v>10</v>
      </c>
      <c r="D16" s="14" t="s">
        <v>2</v>
      </c>
      <c r="E16">
        <v>9642</v>
      </c>
      <c r="G16" s="13" t="s">
        <v>120</v>
      </c>
      <c r="H16" t="s">
        <v>87</v>
      </c>
      <c r="L16" s="17">
        <v>3</v>
      </c>
      <c r="S16" s="17">
        <v>4</v>
      </c>
    </row>
    <row r="17" spans="1:19" x14ac:dyDescent="0.25">
      <c r="A17" s="14" t="s">
        <v>18</v>
      </c>
      <c r="B17">
        <v>23</v>
      </c>
      <c r="D17" s="14" t="s">
        <v>121</v>
      </c>
      <c r="E17">
        <v>18042</v>
      </c>
      <c r="G17" s="14" t="s">
        <v>22</v>
      </c>
      <c r="H17">
        <v>13</v>
      </c>
    </row>
    <row r="18" spans="1:19" x14ac:dyDescent="0.25">
      <c r="A18" s="14" t="s">
        <v>121</v>
      </c>
      <c r="B18">
        <v>50</v>
      </c>
      <c r="G18" s="14" t="s">
        <v>34</v>
      </c>
      <c r="H18">
        <v>11</v>
      </c>
    </row>
    <row r="19" spans="1:19" x14ac:dyDescent="0.25">
      <c r="G19" s="14" t="s">
        <v>17</v>
      </c>
      <c r="H19">
        <v>26</v>
      </c>
    </row>
    <row r="20" spans="1:19" x14ac:dyDescent="0.25">
      <c r="A20" s="17">
        <v>1</v>
      </c>
      <c r="G20" s="14" t="s">
        <v>121</v>
      </c>
      <c r="H20">
        <v>50</v>
      </c>
    </row>
    <row r="22" spans="1:19" x14ac:dyDescent="0.25">
      <c r="E22" s="19"/>
      <c r="H22" s="17">
        <v>2</v>
      </c>
    </row>
    <row r="28" spans="1:19" x14ac:dyDescent="0.25">
      <c r="I28" s="19"/>
      <c r="M28" s="19"/>
    </row>
    <row r="29" spans="1:19" x14ac:dyDescent="0.25">
      <c r="M29" s="17">
        <v>5</v>
      </c>
      <c r="S29" s="17">
        <v>6</v>
      </c>
    </row>
    <row r="34" spans="2:2" x14ac:dyDescent="0.25">
      <c r="B34" s="17">
        <v>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C497-0E56-43AE-8C5B-AD63BA2131E1}">
  <dimension ref="A1:N51"/>
  <sheetViews>
    <sheetView topLeftCell="A13" zoomScale="80" zoomScaleNormal="80" workbookViewId="0">
      <selection sqref="A1:N51"/>
    </sheetView>
  </sheetViews>
  <sheetFormatPr defaultRowHeight="15" x14ac:dyDescent="0.25"/>
  <cols>
    <col min="1" max="1" width="9.28515625" customWidth="1"/>
    <col min="4" max="4" width="13.85546875" customWidth="1"/>
    <col min="5" max="5" width="10.7109375" customWidth="1"/>
    <col min="6" max="6" width="15.7109375" customWidth="1"/>
    <col min="7" max="7" width="15.5703125" customWidth="1"/>
    <col min="8" max="8" width="13.5703125" customWidth="1"/>
    <col min="9" max="9" width="10.28515625" customWidth="1"/>
    <col min="10" max="10" width="14.140625" customWidth="1"/>
    <col min="11" max="11" width="14" customWidth="1"/>
    <col min="12" max="12" width="17.140625" customWidth="1"/>
    <col min="13" max="13" width="18" customWidth="1"/>
  </cols>
  <sheetData>
    <row r="1" spans="1:14" x14ac:dyDescent="0.25">
      <c r="A1" s="1" t="s">
        <v>0</v>
      </c>
      <c r="B1" s="1" t="s">
        <v>1</v>
      </c>
      <c r="C1" s="1" t="s">
        <v>2</v>
      </c>
      <c r="D1" s="1" t="s">
        <v>3</v>
      </c>
      <c r="E1" s="1" t="s">
        <v>4</v>
      </c>
      <c r="F1" s="1" t="s">
        <v>5</v>
      </c>
      <c r="G1" s="1" t="s">
        <v>6</v>
      </c>
      <c r="H1" s="3" t="s">
        <v>7</v>
      </c>
      <c r="I1" s="3" t="s">
        <v>8</v>
      </c>
      <c r="J1" s="3" t="s">
        <v>9</v>
      </c>
      <c r="K1" s="3" t="s">
        <v>10</v>
      </c>
      <c r="L1" s="3" t="s">
        <v>11</v>
      </c>
      <c r="M1" s="3" t="s">
        <v>12</v>
      </c>
      <c r="N1" s="1" t="s">
        <v>13</v>
      </c>
    </row>
    <row r="2" spans="1:14" ht="30" x14ac:dyDescent="0.25">
      <c r="A2" s="4" t="s">
        <v>14</v>
      </c>
      <c r="B2" s="5">
        <v>46235</v>
      </c>
      <c r="C2" s="4" t="s">
        <v>15</v>
      </c>
      <c r="D2" s="4" t="s">
        <v>16</v>
      </c>
      <c r="E2" s="4" t="s">
        <v>2</v>
      </c>
      <c r="F2" s="4" t="s">
        <v>17</v>
      </c>
      <c r="G2" s="4" t="s">
        <v>18</v>
      </c>
      <c r="H2" s="2">
        <v>8.5</v>
      </c>
      <c r="I2" s="2">
        <v>245</v>
      </c>
      <c r="J2" s="2">
        <v>20</v>
      </c>
      <c r="K2" s="2">
        <v>4.8</v>
      </c>
      <c r="L2" s="2">
        <v>4.7</v>
      </c>
      <c r="M2" s="2">
        <v>28</v>
      </c>
      <c r="N2" s="4" t="s">
        <v>19</v>
      </c>
    </row>
    <row r="3" spans="1:14" ht="30" x14ac:dyDescent="0.25">
      <c r="A3" s="4" t="s">
        <v>20</v>
      </c>
      <c r="B3" s="5">
        <v>46235</v>
      </c>
      <c r="C3" s="4" t="s">
        <v>21</v>
      </c>
      <c r="D3" s="4" t="s">
        <v>16</v>
      </c>
      <c r="E3" s="4" t="s">
        <v>2</v>
      </c>
      <c r="F3" s="4" t="s">
        <v>22</v>
      </c>
      <c r="G3" s="4" t="s">
        <v>23</v>
      </c>
      <c r="H3" s="2">
        <v>12.2</v>
      </c>
      <c r="I3" s="2">
        <v>385</v>
      </c>
      <c r="J3" s="2">
        <v>50</v>
      </c>
      <c r="K3" s="2">
        <v>4.5999999999999996</v>
      </c>
      <c r="L3" s="2">
        <v>4.5</v>
      </c>
      <c r="M3" s="2">
        <v>41</v>
      </c>
      <c r="N3" s="4" t="s">
        <v>19</v>
      </c>
    </row>
    <row r="4" spans="1:14" ht="30" x14ac:dyDescent="0.25">
      <c r="A4" s="4" t="s">
        <v>24</v>
      </c>
      <c r="B4" s="5">
        <v>46235</v>
      </c>
      <c r="C4" s="4" t="s">
        <v>25</v>
      </c>
      <c r="D4" s="4" t="s">
        <v>26</v>
      </c>
      <c r="E4" s="4" t="s">
        <v>27</v>
      </c>
      <c r="F4" s="4" t="s">
        <v>17</v>
      </c>
      <c r="G4" s="4" t="s">
        <v>18</v>
      </c>
      <c r="H4" s="2">
        <v>24.5</v>
      </c>
      <c r="I4" s="2">
        <v>720</v>
      </c>
      <c r="J4" s="2">
        <v>80</v>
      </c>
      <c r="K4" s="2">
        <v>4.9000000000000004</v>
      </c>
      <c r="L4" s="2">
        <v>4.8</v>
      </c>
      <c r="M4" s="2">
        <v>55</v>
      </c>
      <c r="N4" s="4" t="s">
        <v>19</v>
      </c>
    </row>
    <row r="5" spans="1:14" ht="30" x14ac:dyDescent="0.25">
      <c r="A5" s="4" t="s">
        <v>28</v>
      </c>
      <c r="B5" s="5">
        <v>46235</v>
      </c>
      <c r="C5" s="4" t="s">
        <v>29</v>
      </c>
      <c r="D5" s="4" t="s">
        <v>16</v>
      </c>
      <c r="E5" s="4" t="s">
        <v>2</v>
      </c>
      <c r="F5" s="4" t="s">
        <v>17</v>
      </c>
      <c r="G5" s="4" t="s">
        <v>30</v>
      </c>
      <c r="H5" s="2">
        <v>6.8</v>
      </c>
      <c r="I5" s="2">
        <v>190</v>
      </c>
      <c r="J5" s="2">
        <v>0</v>
      </c>
      <c r="K5" s="2">
        <v>4.5</v>
      </c>
      <c r="L5" s="2">
        <v>4.5999999999999996</v>
      </c>
      <c r="M5" s="2">
        <v>22</v>
      </c>
      <c r="N5" s="4" t="s">
        <v>19</v>
      </c>
    </row>
    <row r="6" spans="1:14" ht="30" x14ac:dyDescent="0.25">
      <c r="A6" s="4" t="s">
        <v>31</v>
      </c>
      <c r="B6" s="5">
        <v>46235</v>
      </c>
      <c r="C6" s="4" t="s">
        <v>32</v>
      </c>
      <c r="D6" s="4" t="s">
        <v>33</v>
      </c>
      <c r="E6" s="4" t="s">
        <v>2</v>
      </c>
      <c r="F6" s="4" t="s">
        <v>34</v>
      </c>
      <c r="G6" s="4" t="s">
        <v>23</v>
      </c>
      <c r="H6" s="2">
        <v>10.4</v>
      </c>
      <c r="I6" s="2">
        <v>410</v>
      </c>
      <c r="J6" s="2">
        <v>30</v>
      </c>
      <c r="K6" s="2">
        <v>4.9000000000000004</v>
      </c>
      <c r="L6" s="2">
        <v>4.9000000000000004</v>
      </c>
      <c r="M6" s="2">
        <v>35</v>
      </c>
      <c r="N6" s="4" t="s">
        <v>19</v>
      </c>
    </row>
    <row r="7" spans="1:14" ht="30" x14ac:dyDescent="0.25">
      <c r="A7" s="4" t="s">
        <v>35</v>
      </c>
      <c r="B7" s="5">
        <v>46236</v>
      </c>
      <c r="C7" s="4" t="s">
        <v>36</v>
      </c>
      <c r="D7" s="4" t="s">
        <v>16</v>
      </c>
      <c r="E7" s="4" t="s">
        <v>2</v>
      </c>
      <c r="F7" s="4" t="s">
        <v>22</v>
      </c>
      <c r="G7" s="4" t="s">
        <v>18</v>
      </c>
      <c r="H7" s="2">
        <v>7.2</v>
      </c>
      <c r="I7" s="2">
        <v>215</v>
      </c>
      <c r="J7" s="2">
        <v>25</v>
      </c>
      <c r="K7" s="2">
        <v>4.7</v>
      </c>
      <c r="L7" s="2">
        <v>4.4000000000000004</v>
      </c>
      <c r="M7" s="2">
        <v>25</v>
      </c>
      <c r="N7" s="4" t="s">
        <v>19</v>
      </c>
    </row>
    <row r="8" spans="1:14" ht="30" x14ac:dyDescent="0.25">
      <c r="A8" s="4" t="s">
        <v>37</v>
      </c>
      <c r="B8" s="5">
        <v>46236</v>
      </c>
      <c r="C8" s="4" t="s">
        <v>15</v>
      </c>
      <c r="D8" s="4" t="s">
        <v>38</v>
      </c>
      <c r="E8" s="4" t="s">
        <v>2</v>
      </c>
      <c r="F8" s="4" t="s">
        <v>17</v>
      </c>
      <c r="G8" s="4" t="s">
        <v>18</v>
      </c>
      <c r="H8" s="2">
        <v>4.5</v>
      </c>
      <c r="I8" s="2">
        <v>105</v>
      </c>
      <c r="J8" s="2">
        <v>10</v>
      </c>
      <c r="K8" s="2">
        <v>4.5999999999999996</v>
      </c>
      <c r="L8" s="2">
        <v>4.5</v>
      </c>
      <c r="M8" s="2">
        <v>18</v>
      </c>
      <c r="N8" s="4" t="s">
        <v>19</v>
      </c>
    </row>
    <row r="9" spans="1:14" ht="30" x14ac:dyDescent="0.25">
      <c r="A9" s="4" t="s">
        <v>39</v>
      </c>
      <c r="B9" s="5">
        <v>46236</v>
      </c>
      <c r="C9" s="4" t="s">
        <v>21</v>
      </c>
      <c r="D9" s="4" t="s">
        <v>26</v>
      </c>
      <c r="E9" s="4" t="s">
        <v>27</v>
      </c>
      <c r="F9" s="4" t="s">
        <v>34</v>
      </c>
      <c r="G9" s="4" t="s">
        <v>23</v>
      </c>
      <c r="H9" s="2">
        <v>28.7</v>
      </c>
      <c r="I9" s="2">
        <v>890</v>
      </c>
      <c r="J9" s="2">
        <v>100</v>
      </c>
      <c r="K9" s="2">
        <v>4.8</v>
      </c>
      <c r="L9" s="2">
        <v>4.9000000000000004</v>
      </c>
      <c r="M9" s="2">
        <v>67</v>
      </c>
      <c r="N9" s="4" t="s">
        <v>19</v>
      </c>
    </row>
    <row r="10" spans="1:14" ht="30" x14ac:dyDescent="0.25">
      <c r="A10" s="4" t="s">
        <v>40</v>
      </c>
      <c r="B10" s="5">
        <v>46236</v>
      </c>
      <c r="C10" s="4" t="s">
        <v>25</v>
      </c>
      <c r="D10" s="4" t="s">
        <v>16</v>
      </c>
      <c r="E10" s="4" t="s">
        <v>2</v>
      </c>
      <c r="F10" s="4" t="s">
        <v>17</v>
      </c>
      <c r="G10" s="4" t="s">
        <v>30</v>
      </c>
      <c r="H10" s="2">
        <v>9.8000000000000007</v>
      </c>
      <c r="I10" s="2">
        <v>290</v>
      </c>
      <c r="J10" s="2">
        <v>0</v>
      </c>
      <c r="K10" s="2">
        <v>4.4000000000000004</v>
      </c>
      <c r="L10" s="2">
        <v>4.2</v>
      </c>
      <c r="M10" s="2">
        <v>31</v>
      </c>
      <c r="N10" s="4" t="s">
        <v>19</v>
      </c>
    </row>
    <row r="11" spans="1:14" ht="30" x14ac:dyDescent="0.25">
      <c r="A11" s="4" t="s">
        <v>41</v>
      </c>
      <c r="B11" s="5">
        <v>46236</v>
      </c>
      <c r="C11" s="4" t="s">
        <v>42</v>
      </c>
      <c r="D11" s="4" t="s">
        <v>16</v>
      </c>
      <c r="E11" s="4" t="s">
        <v>27</v>
      </c>
      <c r="F11" s="4" t="s">
        <v>22</v>
      </c>
      <c r="G11" s="4" t="s">
        <v>18</v>
      </c>
      <c r="H11" s="2">
        <v>18.5</v>
      </c>
      <c r="I11" s="2">
        <v>540</v>
      </c>
      <c r="J11" s="2">
        <v>60</v>
      </c>
      <c r="K11" s="2">
        <v>4.7</v>
      </c>
      <c r="L11" s="2">
        <v>4.5999999999999996</v>
      </c>
      <c r="M11" s="2">
        <v>44</v>
      </c>
      <c r="N11" s="4" t="s">
        <v>19</v>
      </c>
    </row>
    <row r="12" spans="1:14" ht="30" x14ac:dyDescent="0.25">
      <c r="A12" s="4" t="s">
        <v>43</v>
      </c>
      <c r="B12" s="5">
        <v>46237</v>
      </c>
      <c r="C12" s="4" t="s">
        <v>15</v>
      </c>
      <c r="D12" s="4" t="s">
        <v>33</v>
      </c>
      <c r="E12" s="4" t="s">
        <v>2</v>
      </c>
      <c r="F12" s="4" t="s">
        <v>34</v>
      </c>
      <c r="G12" s="4" t="s">
        <v>23</v>
      </c>
      <c r="H12" s="2">
        <v>14.2</v>
      </c>
      <c r="I12" s="2">
        <v>560</v>
      </c>
      <c r="J12" s="2">
        <v>40</v>
      </c>
      <c r="K12" s="2">
        <v>4.9000000000000004</v>
      </c>
      <c r="L12" s="2">
        <v>4.8</v>
      </c>
      <c r="M12" s="2">
        <v>43</v>
      </c>
      <c r="N12" s="4" t="s">
        <v>19</v>
      </c>
    </row>
    <row r="13" spans="1:14" ht="30" x14ac:dyDescent="0.25">
      <c r="A13" s="4" t="s">
        <v>44</v>
      </c>
      <c r="B13" s="5">
        <v>46237</v>
      </c>
      <c r="C13" s="4" t="s">
        <v>21</v>
      </c>
      <c r="D13" s="4" t="s">
        <v>16</v>
      </c>
      <c r="E13" s="4" t="s">
        <v>2</v>
      </c>
      <c r="F13" s="4" t="s">
        <v>17</v>
      </c>
      <c r="G13" s="4" t="s">
        <v>18</v>
      </c>
      <c r="H13" s="2">
        <v>5.7</v>
      </c>
      <c r="I13" s="2">
        <v>175</v>
      </c>
      <c r="J13" s="2">
        <v>15</v>
      </c>
      <c r="K13" s="2">
        <v>4.5999999999999996</v>
      </c>
      <c r="L13" s="2">
        <v>4.7</v>
      </c>
      <c r="M13" s="2">
        <v>20</v>
      </c>
      <c r="N13" s="4" t="s">
        <v>19</v>
      </c>
    </row>
    <row r="14" spans="1:14" ht="30" x14ac:dyDescent="0.25">
      <c r="A14" s="4" t="s">
        <v>45</v>
      </c>
      <c r="B14" s="5">
        <v>46237</v>
      </c>
      <c r="C14" s="4" t="s">
        <v>25</v>
      </c>
      <c r="D14" s="4" t="s">
        <v>38</v>
      </c>
      <c r="E14" s="4" t="s">
        <v>2</v>
      </c>
      <c r="F14" s="4" t="s">
        <v>22</v>
      </c>
      <c r="G14" s="4" t="s">
        <v>30</v>
      </c>
      <c r="H14" s="2">
        <v>3.8</v>
      </c>
      <c r="I14" s="2">
        <v>90</v>
      </c>
      <c r="J14" s="2">
        <v>0</v>
      </c>
      <c r="K14" s="2">
        <v>4.3</v>
      </c>
      <c r="L14" s="2">
        <v>4.0999999999999996</v>
      </c>
      <c r="M14" s="2">
        <v>16</v>
      </c>
      <c r="N14" s="4" t="s">
        <v>19</v>
      </c>
    </row>
    <row r="15" spans="1:14" ht="30" x14ac:dyDescent="0.25">
      <c r="A15" s="4" t="s">
        <v>46</v>
      </c>
      <c r="B15" s="5">
        <v>46237</v>
      </c>
      <c r="C15" s="4" t="s">
        <v>29</v>
      </c>
      <c r="D15" s="4" t="s">
        <v>26</v>
      </c>
      <c r="E15" s="4" t="s">
        <v>27</v>
      </c>
      <c r="F15" s="4" t="s">
        <v>17</v>
      </c>
      <c r="G15" s="4" t="s">
        <v>23</v>
      </c>
      <c r="H15" s="2">
        <v>22.4</v>
      </c>
      <c r="I15" s="2">
        <v>680</v>
      </c>
      <c r="J15" s="2">
        <v>70</v>
      </c>
      <c r="K15" s="2">
        <v>4.8</v>
      </c>
      <c r="L15" s="2">
        <v>4.7</v>
      </c>
      <c r="M15" s="2">
        <v>52</v>
      </c>
      <c r="N15" s="4" t="s">
        <v>19</v>
      </c>
    </row>
    <row r="16" spans="1:14" ht="30" x14ac:dyDescent="0.25">
      <c r="A16" s="4" t="s">
        <v>47</v>
      </c>
      <c r="B16" s="5">
        <v>46237</v>
      </c>
      <c r="C16" s="4" t="s">
        <v>32</v>
      </c>
      <c r="D16" s="4" t="s">
        <v>16</v>
      </c>
      <c r="E16" s="4" t="s">
        <v>2</v>
      </c>
      <c r="F16" s="4" t="s">
        <v>17</v>
      </c>
      <c r="G16" s="4" t="s">
        <v>18</v>
      </c>
      <c r="H16" s="2">
        <v>8.9</v>
      </c>
      <c r="I16" s="2">
        <v>260</v>
      </c>
      <c r="J16" s="2">
        <v>20</v>
      </c>
      <c r="K16" s="2">
        <v>4.7</v>
      </c>
      <c r="L16" s="2">
        <v>4.5999999999999996</v>
      </c>
      <c r="M16" s="2">
        <v>29</v>
      </c>
      <c r="N16" s="4" t="s">
        <v>19</v>
      </c>
    </row>
    <row r="17" spans="1:14" ht="30" x14ac:dyDescent="0.25">
      <c r="A17" s="4" t="s">
        <v>48</v>
      </c>
      <c r="B17" s="5">
        <v>46237</v>
      </c>
      <c r="C17" s="4" t="s">
        <v>36</v>
      </c>
      <c r="D17" s="4" t="s">
        <v>33</v>
      </c>
      <c r="E17" s="4" t="s">
        <v>2</v>
      </c>
      <c r="F17" s="4" t="s">
        <v>34</v>
      </c>
      <c r="G17" s="4" t="s">
        <v>23</v>
      </c>
      <c r="H17" s="2">
        <v>11.5</v>
      </c>
      <c r="I17" s="2">
        <v>450</v>
      </c>
      <c r="J17" s="2">
        <v>35</v>
      </c>
      <c r="K17" s="2">
        <v>4.9000000000000004</v>
      </c>
      <c r="L17" s="2">
        <v>4.9000000000000004</v>
      </c>
      <c r="M17" s="2">
        <v>37</v>
      </c>
      <c r="N17" s="4" t="s">
        <v>19</v>
      </c>
    </row>
    <row r="18" spans="1:14" ht="30" x14ac:dyDescent="0.25">
      <c r="A18" s="4" t="s">
        <v>49</v>
      </c>
      <c r="B18" s="5">
        <v>46238</v>
      </c>
      <c r="C18" s="4" t="s">
        <v>15</v>
      </c>
      <c r="D18" s="4" t="s">
        <v>16</v>
      </c>
      <c r="E18" s="4" t="s">
        <v>2</v>
      </c>
      <c r="F18" s="4" t="s">
        <v>22</v>
      </c>
      <c r="G18" s="4" t="s">
        <v>18</v>
      </c>
      <c r="H18" s="2">
        <v>6.4</v>
      </c>
      <c r="I18" s="2">
        <v>185</v>
      </c>
      <c r="J18" s="2">
        <v>20</v>
      </c>
      <c r="K18" s="2">
        <v>4.5</v>
      </c>
      <c r="L18" s="2">
        <v>4.3</v>
      </c>
      <c r="M18" s="2">
        <v>23</v>
      </c>
      <c r="N18" s="4" t="s">
        <v>50</v>
      </c>
    </row>
    <row r="19" spans="1:14" ht="30" x14ac:dyDescent="0.25">
      <c r="A19" s="4" t="s">
        <v>51</v>
      </c>
      <c r="B19" s="5">
        <v>46238</v>
      </c>
      <c r="C19" s="4" t="s">
        <v>21</v>
      </c>
      <c r="D19" s="4" t="s">
        <v>16</v>
      </c>
      <c r="E19" s="4" t="s">
        <v>2</v>
      </c>
      <c r="F19" s="4" t="s">
        <v>17</v>
      </c>
      <c r="G19" s="4" t="s">
        <v>30</v>
      </c>
      <c r="H19" s="2">
        <v>10.6</v>
      </c>
      <c r="I19" s="2">
        <v>320</v>
      </c>
      <c r="J19" s="2">
        <v>0</v>
      </c>
      <c r="K19" s="2">
        <v>4.7</v>
      </c>
      <c r="L19" s="2">
        <v>4.5</v>
      </c>
      <c r="M19" s="2">
        <v>34</v>
      </c>
      <c r="N19" s="4" t="s">
        <v>19</v>
      </c>
    </row>
    <row r="20" spans="1:14" ht="30" x14ac:dyDescent="0.25">
      <c r="A20" s="4" t="s">
        <v>52</v>
      </c>
      <c r="B20" s="5">
        <v>46238</v>
      </c>
      <c r="C20" s="4" t="s">
        <v>25</v>
      </c>
      <c r="D20" s="4" t="s">
        <v>33</v>
      </c>
      <c r="E20" s="4" t="s">
        <v>27</v>
      </c>
      <c r="F20" s="4" t="s">
        <v>34</v>
      </c>
      <c r="G20" s="4" t="s">
        <v>23</v>
      </c>
      <c r="H20" s="2">
        <v>26.3</v>
      </c>
      <c r="I20" s="2">
        <v>840</v>
      </c>
      <c r="J20" s="2">
        <v>90</v>
      </c>
      <c r="K20" s="2">
        <v>4.9000000000000004</v>
      </c>
      <c r="L20" s="2">
        <v>4.8</v>
      </c>
      <c r="M20" s="2">
        <v>61</v>
      </c>
      <c r="N20" s="4" t="s">
        <v>19</v>
      </c>
    </row>
    <row r="21" spans="1:14" ht="30" x14ac:dyDescent="0.25">
      <c r="A21" s="4" t="s">
        <v>53</v>
      </c>
      <c r="B21" s="5">
        <v>46238</v>
      </c>
      <c r="C21" s="4" t="s">
        <v>42</v>
      </c>
      <c r="D21" s="4" t="s">
        <v>38</v>
      </c>
      <c r="E21" s="4" t="s">
        <v>2</v>
      </c>
      <c r="F21" s="4" t="s">
        <v>17</v>
      </c>
      <c r="G21" s="4" t="s">
        <v>18</v>
      </c>
      <c r="H21" s="2">
        <v>5.0999999999999996</v>
      </c>
      <c r="I21" s="2">
        <v>115</v>
      </c>
      <c r="J21" s="2">
        <v>10</v>
      </c>
      <c r="K21" s="2">
        <v>4.5</v>
      </c>
      <c r="L21" s="2">
        <v>4.4000000000000004</v>
      </c>
      <c r="M21" s="2">
        <v>19</v>
      </c>
      <c r="N21" s="4" t="s">
        <v>19</v>
      </c>
    </row>
    <row r="22" spans="1:14" ht="30" x14ac:dyDescent="0.25">
      <c r="A22" s="4" t="s">
        <v>54</v>
      </c>
      <c r="B22" s="5">
        <v>46238</v>
      </c>
      <c r="C22" s="4" t="s">
        <v>29</v>
      </c>
      <c r="D22" s="4" t="s">
        <v>16</v>
      </c>
      <c r="E22" s="4" t="s">
        <v>2</v>
      </c>
      <c r="F22" s="4" t="s">
        <v>17</v>
      </c>
      <c r="G22" s="4" t="s">
        <v>18</v>
      </c>
      <c r="H22" s="2">
        <v>9.3000000000000007</v>
      </c>
      <c r="I22" s="2">
        <v>275</v>
      </c>
      <c r="J22" s="2">
        <v>25</v>
      </c>
      <c r="K22" s="2">
        <v>4.5999999999999996</v>
      </c>
      <c r="L22" s="2">
        <v>4.7</v>
      </c>
      <c r="M22" s="2">
        <v>30</v>
      </c>
      <c r="N22" s="4" t="s">
        <v>19</v>
      </c>
    </row>
    <row r="23" spans="1:14" ht="30" x14ac:dyDescent="0.25">
      <c r="A23" s="4" t="s">
        <v>55</v>
      </c>
      <c r="B23" s="5">
        <v>46238</v>
      </c>
      <c r="C23" s="4" t="s">
        <v>32</v>
      </c>
      <c r="D23" s="4" t="s">
        <v>26</v>
      </c>
      <c r="E23" s="4" t="s">
        <v>27</v>
      </c>
      <c r="F23" s="4" t="s">
        <v>22</v>
      </c>
      <c r="G23" s="4" t="s">
        <v>23</v>
      </c>
      <c r="H23" s="2">
        <v>21.8</v>
      </c>
      <c r="I23" s="2">
        <v>650</v>
      </c>
      <c r="J23" s="2">
        <v>75</v>
      </c>
      <c r="K23" s="2">
        <v>4.7</v>
      </c>
      <c r="L23" s="2">
        <v>4.5</v>
      </c>
      <c r="M23" s="2">
        <v>50</v>
      </c>
      <c r="N23" s="4" t="s">
        <v>19</v>
      </c>
    </row>
    <row r="24" spans="1:14" ht="30" x14ac:dyDescent="0.25">
      <c r="A24" s="4" t="s">
        <v>56</v>
      </c>
      <c r="B24" s="5">
        <v>46239</v>
      </c>
      <c r="C24" s="4" t="s">
        <v>36</v>
      </c>
      <c r="D24" s="4" t="s">
        <v>16</v>
      </c>
      <c r="E24" s="4" t="s">
        <v>2</v>
      </c>
      <c r="F24" s="4" t="s">
        <v>17</v>
      </c>
      <c r="G24" s="4" t="s">
        <v>30</v>
      </c>
      <c r="H24" s="2">
        <v>7.6</v>
      </c>
      <c r="I24" s="2">
        <v>225</v>
      </c>
      <c r="J24" s="2">
        <v>0</v>
      </c>
      <c r="K24" s="2">
        <v>4.4000000000000004</v>
      </c>
      <c r="L24" s="2">
        <v>4.3</v>
      </c>
      <c r="M24" s="2">
        <v>26</v>
      </c>
      <c r="N24" s="4" t="s">
        <v>19</v>
      </c>
    </row>
    <row r="25" spans="1:14" ht="30" x14ac:dyDescent="0.25">
      <c r="A25" s="4" t="s">
        <v>57</v>
      </c>
      <c r="B25" s="5">
        <v>46239</v>
      </c>
      <c r="C25" s="4" t="s">
        <v>15</v>
      </c>
      <c r="D25" s="4" t="s">
        <v>38</v>
      </c>
      <c r="E25" s="4" t="s">
        <v>2</v>
      </c>
      <c r="F25" s="4" t="s">
        <v>22</v>
      </c>
      <c r="G25" s="4" t="s">
        <v>18</v>
      </c>
      <c r="H25" s="2">
        <v>3.2</v>
      </c>
      <c r="I25" s="2">
        <v>80</v>
      </c>
      <c r="J25" s="2">
        <v>5</v>
      </c>
      <c r="K25" s="2">
        <v>4.5</v>
      </c>
      <c r="L25" s="2">
        <v>4.2</v>
      </c>
      <c r="M25" s="2">
        <v>14</v>
      </c>
      <c r="N25" s="4" t="s">
        <v>19</v>
      </c>
    </row>
    <row r="26" spans="1:14" ht="30" x14ac:dyDescent="0.25">
      <c r="A26" s="4" t="s">
        <v>58</v>
      </c>
      <c r="B26" s="5">
        <v>46239</v>
      </c>
      <c r="C26" s="4" t="s">
        <v>21</v>
      </c>
      <c r="D26" s="4" t="s">
        <v>33</v>
      </c>
      <c r="E26" s="4" t="s">
        <v>2</v>
      </c>
      <c r="F26" s="4" t="s">
        <v>34</v>
      </c>
      <c r="G26" s="4" t="s">
        <v>23</v>
      </c>
      <c r="H26" s="2">
        <v>13.7</v>
      </c>
      <c r="I26" s="2">
        <v>525</v>
      </c>
      <c r="J26" s="2">
        <v>45</v>
      </c>
      <c r="K26" s="2">
        <v>4.9000000000000004</v>
      </c>
      <c r="L26" s="2">
        <v>4.9000000000000004</v>
      </c>
      <c r="M26" s="2">
        <v>42</v>
      </c>
      <c r="N26" s="4" t="s">
        <v>19</v>
      </c>
    </row>
    <row r="27" spans="1:14" ht="30" x14ac:dyDescent="0.25">
      <c r="A27" s="4" t="s">
        <v>59</v>
      </c>
      <c r="B27" s="5">
        <v>46239</v>
      </c>
      <c r="C27" s="4" t="s">
        <v>25</v>
      </c>
      <c r="D27" s="4" t="s">
        <v>16</v>
      </c>
      <c r="E27" s="4" t="s">
        <v>2</v>
      </c>
      <c r="F27" s="4" t="s">
        <v>17</v>
      </c>
      <c r="G27" s="4" t="s">
        <v>18</v>
      </c>
      <c r="H27" s="2">
        <v>11.4</v>
      </c>
      <c r="I27" s="2">
        <v>335</v>
      </c>
      <c r="J27" s="2">
        <v>30</v>
      </c>
      <c r="K27" s="2">
        <v>4.8</v>
      </c>
      <c r="L27" s="2">
        <v>4.7</v>
      </c>
      <c r="M27" s="2">
        <v>36</v>
      </c>
      <c r="N27" s="4" t="s">
        <v>19</v>
      </c>
    </row>
    <row r="28" spans="1:14" ht="30" x14ac:dyDescent="0.25">
      <c r="A28" s="4" t="s">
        <v>60</v>
      </c>
      <c r="B28" s="5">
        <v>46239</v>
      </c>
      <c r="C28" s="4" t="s">
        <v>29</v>
      </c>
      <c r="D28" s="4" t="s">
        <v>16</v>
      </c>
      <c r="E28" s="4" t="s">
        <v>2</v>
      </c>
      <c r="F28" s="4" t="s">
        <v>22</v>
      </c>
      <c r="G28" s="4" t="s">
        <v>30</v>
      </c>
      <c r="H28" s="2">
        <v>5.9</v>
      </c>
      <c r="I28" s="2">
        <v>165</v>
      </c>
      <c r="J28" s="2">
        <v>0</v>
      </c>
      <c r="K28" s="2">
        <v>4.3</v>
      </c>
      <c r="L28" s="2">
        <v>4.0999999999999996</v>
      </c>
      <c r="M28" s="2">
        <v>21</v>
      </c>
      <c r="N28" s="4" t="s">
        <v>50</v>
      </c>
    </row>
    <row r="29" spans="1:14" ht="30" x14ac:dyDescent="0.25">
      <c r="A29" s="4" t="s">
        <v>61</v>
      </c>
      <c r="B29" s="5">
        <v>46239</v>
      </c>
      <c r="C29" s="4" t="s">
        <v>32</v>
      </c>
      <c r="D29" s="4" t="s">
        <v>16</v>
      </c>
      <c r="E29" s="4" t="s">
        <v>2</v>
      </c>
      <c r="F29" s="4" t="s">
        <v>17</v>
      </c>
      <c r="G29" s="4" t="s">
        <v>18</v>
      </c>
      <c r="H29" s="2">
        <v>8.1999999999999993</v>
      </c>
      <c r="I29" s="2">
        <v>240</v>
      </c>
      <c r="J29" s="2">
        <v>20</v>
      </c>
      <c r="K29" s="2">
        <v>4.5999999999999996</v>
      </c>
      <c r="L29" s="2">
        <v>4.5</v>
      </c>
      <c r="M29" s="2">
        <v>27</v>
      </c>
      <c r="N29" s="4" t="s">
        <v>19</v>
      </c>
    </row>
    <row r="30" spans="1:14" ht="30" x14ac:dyDescent="0.25">
      <c r="A30" s="4" t="s">
        <v>62</v>
      </c>
      <c r="B30" s="5">
        <v>46240</v>
      </c>
      <c r="C30" s="4" t="s">
        <v>42</v>
      </c>
      <c r="D30" s="4" t="s">
        <v>33</v>
      </c>
      <c r="E30" s="4" t="s">
        <v>27</v>
      </c>
      <c r="F30" s="4" t="s">
        <v>34</v>
      </c>
      <c r="G30" s="4" t="s">
        <v>23</v>
      </c>
      <c r="H30" s="2">
        <v>19.600000000000001</v>
      </c>
      <c r="I30" s="2">
        <v>610</v>
      </c>
      <c r="J30" s="2">
        <v>60</v>
      </c>
      <c r="K30" s="2">
        <v>4.8</v>
      </c>
      <c r="L30" s="2">
        <v>4.8</v>
      </c>
      <c r="M30" s="2">
        <v>47</v>
      </c>
      <c r="N30" s="4" t="s">
        <v>19</v>
      </c>
    </row>
    <row r="31" spans="1:14" ht="30" x14ac:dyDescent="0.25">
      <c r="A31" s="4" t="s">
        <v>63</v>
      </c>
      <c r="B31" s="5">
        <v>46240</v>
      </c>
      <c r="C31" s="4" t="s">
        <v>36</v>
      </c>
      <c r="D31" s="4" t="s">
        <v>38</v>
      </c>
      <c r="E31" s="4" t="s">
        <v>2</v>
      </c>
      <c r="F31" s="4" t="s">
        <v>17</v>
      </c>
      <c r="G31" s="4" t="s">
        <v>18</v>
      </c>
      <c r="H31" s="2">
        <v>4.2</v>
      </c>
      <c r="I31" s="2">
        <v>95</v>
      </c>
      <c r="J31" s="2">
        <v>5</v>
      </c>
      <c r="K31" s="2">
        <v>4.5</v>
      </c>
      <c r="L31" s="2">
        <v>4.4000000000000004</v>
      </c>
      <c r="M31" s="2">
        <v>17</v>
      </c>
      <c r="N31" s="4" t="s">
        <v>19</v>
      </c>
    </row>
    <row r="32" spans="1:14" ht="30" x14ac:dyDescent="0.25">
      <c r="A32" s="4" t="s">
        <v>64</v>
      </c>
      <c r="B32" s="5">
        <v>46240</v>
      </c>
      <c r="C32" s="4" t="s">
        <v>15</v>
      </c>
      <c r="D32" s="4" t="s">
        <v>26</v>
      </c>
      <c r="E32" s="4" t="s">
        <v>27</v>
      </c>
      <c r="F32" s="4" t="s">
        <v>17</v>
      </c>
      <c r="G32" s="4" t="s">
        <v>23</v>
      </c>
      <c r="H32" s="2">
        <v>25.8</v>
      </c>
      <c r="I32" s="2">
        <v>795</v>
      </c>
      <c r="J32" s="2">
        <v>85</v>
      </c>
      <c r="K32" s="2">
        <v>4.9000000000000004</v>
      </c>
      <c r="L32" s="2">
        <v>4.8</v>
      </c>
      <c r="M32" s="2">
        <v>59</v>
      </c>
      <c r="N32" s="4" t="s">
        <v>19</v>
      </c>
    </row>
    <row r="33" spans="1:14" ht="30" x14ac:dyDescent="0.25">
      <c r="A33" s="4" t="s">
        <v>65</v>
      </c>
      <c r="B33" s="5">
        <v>46240</v>
      </c>
      <c r="C33" s="4" t="s">
        <v>21</v>
      </c>
      <c r="D33" s="4" t="s">
        <v>16</v>
      </c>
      <c r="E33" s="4" t="s">
        <v>2</v>
      </c>
      <c r="F33" s="4" t="s">
        <v>22</v>
      </c>
      <c r="G33" s="4" t="s">
        <v>18</v>
      </c>
      <c r="H33" s="2">
        <v>9.1</v>
      </c>
      <c r="I33" s="2">
        <v>270</v>
      </c>
      <c r="J33" s="2">
        <v>30</v>
      </c>
      <c r="K33" s="2">
        <v>4.5999999999999996</v>
      </c>
      <c r="L33" s="2">
        <v>4.5</v>
      </c>
      <c r="M33" s="2">
        <v>30</v>
      </c>
      <c r="N33" s="4" t="s">
        <v>19</v>
      </c>
    </row>
    <row r="34" spans="1:14" ht="30" x14ac:dyDescent="0.25">
      <c r="A34" s="4" t="s">
        <v>66</v>
      </c>
      <c r="B34" s="5">
        <v>46240</v>
      </c>
      <c r="C34" s="4" t="s">
        <v>25</v>
      </c>
      <c r="D34" s="4" t="s">
        <v>16</v>
      </c>
      <c r="E34" s="4" t="s">
        <v>2</v>
      </c>
      <c r="F34" s="4" t="s">
        <v>17</v>
      </c>
      <c r="G34" s="4" t="s">
        <v>30</v>
      </c>
      <c r="H34" s="2">
        <v>6.7</v>
      </c>
      <c r="I34" s="2">
        <v>195</v>
      </c>
      <c r="J34" s="2">
        <v>0</v>
      </c>
      <c r="K34" s="2">
        <v>4.4000000000000004</v>
      </c>
      <c r="L34" s="2">
        <v>4.3</v>
      </c>
      <c r="M34" s="2">
        <v>23</v>
      </c>
      <c r="N34" s="4" t="s">
        <v>19</v>
      </c>
    </row>
    <row r="35" spans="1:14" ht="30" x14ac:dyDescent="0.25">
      <c r="A35" s="4" t="s">
        <v>67</v>
      </c>
      <c r="B35" s="5">
        <v>46241</v>
      </c>
      <c r="C35" s="4" t="s">
        <v>29</v>
      </c>
      <c r="D35" s="4" t="s">
        <v>33</v>
      </c>
      <c r="E35" s="4" t="s">
        <v>2</v>
      </c>
      <c r="F35" s="4" t="s">
        <v>34</v>
      </c>
      <c r="G35" s="4" t="s">
        <v>23</v>
      </c>
      <c r="H35" s="2">
        <v>12.8</v>
      </c>
      <c r="I35" s="2">
        <v>490</v>
      </c>
      <c r="J35" s="2">
        <v>40</v>
      </c>
      <c r="K35" s="2">
        <v>4.9000000000000004</v>
      </c>
      <c r="L35" s="2">
        <v>4.9000000000000004</v>
      </c>
      <c r="M35" s="2">
        <v>39</v>
      </c>
      <c r="N35" s="4" t="s">
        <v>19</v>
      </c>
    </row>
    <row r="36" spans="1:14" ht="30" x14ac:dyDescent="0.25">
      <c r="A36" s="4" t="s">
        <v>68</v>
      </c>
      <c r="B36" s="5">
        <v>46241</v>
      </c>
      <c r="C36" s="4" t="s">
        <v>32</v>
      </c>
      <c r="D36" s="4" t="s">
        <v>16</v>
      </c>
      <c r="E36" s="4" t="s">
        <v>2</v>
      </c>
      <c r="F36" s="4" t="s">
        <v>17</v>
      </c>
      <c r="G36" s="4" t="s">
        <v>18</v>
      </c>
      <c r="H36" s="2">
        <v>7.5</v>
      </c>
      <c r="I36" s="2">
        <v>220</v>
      </c>
      <c r="J36" s="2">
        <v>15</v>
      </c>
      <c r="K36" s="2">
        <v>4.7</v>
      </c>
      <c r="L36" s="2">
        <v>4.5999999999999996</v>
      </c>
      <c r="M36" s="2">
        <v>25</v>
      </c>
      <c r="N36" s="4" t="s">
        <v>19</v>
      </c>
    </row>
    <row r="37" spans="1:14" ht="30" x14ac:dyDescent="0.25">
      <c r="A37" s="4" t="s">
        <v>69</v>
      </c>
      <c r="B37" s="5">
        <v>46241</v>
      </c>
      <c r="C37" s="4" t="s">
        <v>36</v>
      </c>
      <c r="D37" s="4" t="s">
        <v>26</v>
      </c>
      <c r="E37" s="4" t="s">
        <v>27</v>
      </c>
      <c r="F37" s="4" t="s">
        <v>17</v>
      </c>
      <c r="G37" s="4" t="s">
        <v>23</v>
      </c>
      <c r="H37" s="2">
        <v>23.6</v>
      </c>
      <c r="I37" s="2">
        <v>705</v>
      </c>
      <c r="J37" s="2">
        <v>70</v>
      </c>
      <c r="K37" s="2">
        <v>4.8</v>
      </c>
      <c r="L37" s="2">
        <v>4.7</v>
      </c>
      <c r="M37" s="2">
        <v>54</v>
      </c>
      <c r="N37" s="4" t="s">
        <v>19</v>
      </c>
    </row>
    <row r="38" spans="1:14" ht="30" x14ac:dyDescent="0.25">
      <c r="A38" s="4" t="s">
        <v>70</v>
      </c>
      <c r="B38" s="5">
        <v>46241</v>
      </c>
      <c r="C38" s="4" t="s">
        <v>15</v>
      </c>
      <c r="D38" s="4" t="s">
        <v>16</v>
      </c>
      <c r="E38" s="4" t="s">
        <v>2</v>
      </c>
      <c r="F38" s="4" t="s">
        <v>22</v>
      </c>
      <c r="G38" s="4" t="s">
        <v>18</v>
      </c>
      <c r="H38" s="2">
        <v>5.3</v>
      </c>
      <c r="I38" s="2">
        <v>155</v>
      </c>
      <c r="J38" s="2">
        <v>20</v>
      </c>
      <c r="K38" s="2">
        <v>4.5</v>
      </c>
      <c r="L38" s="2">
        <v>4.4000000000000004</v>
      </c>
      <c r="M38" s="2">
        <v>19</v>
      </c>
      <c r="N38" s="4" t="s">
        <v>19</v>
      </c>
    </row>
    <row r="39" spans="1:14" ht="30" x14ac:dyDescent="0.25">
      <c r="A39" s="4" t="s">
        <v>71</v>
      </c>
      <c r="B39" s="5">
        <v>46241</v>
      </c>
      <c r="C39" s="4" t="s">
        <v>21</v>
      </c>
      <c r="D39" s="4" t="s">
        <v>38</v>
      </c>
      <c r="E39" s="4" t="s">
        <v>2</v>
      </c>
      <c r="F39" s="4" t="s">
        <v>17</v>
      </c>
      <c r="G39" s="4" t="s">
        <v>30</v>
      </c>
      <c r="H39" s="2">
        <v>4.7</v>
      </c>
      <c r="I39" s="2">
        <v>110</v>
      </c>
      <c r="J39" s="2">
        <v>0</v>
      </c>
      <c r="K39" s="2">
        <v>4.4000000000000004</v>
      </c>
      <c r="L39" s="2">
        <v>4.2</v>
      </c>
      <c r="M39" s="2">
        <v>18</v>
      </c>
      <c r="N39" s="4" t="s">
        <v>50</v>
      </c>
    </row>
    <row r="40" spans="1:14" ht="30" x14ac:dyDescent="0.25">
      <c r="A40" s="4" t="s">
        <v>72</v>
      </c>
      <c r="B40" s="5">
        <v>46241</v>
      </c>
      <c r="C40" s="4" t="s">
        <v>25</v>
      </c>
      <c r="D40" s="4" t="s">
        <v>16</v>
      </c>
      <c r="E40" s="4" t="s">
        <v>2</v>
      </c>
      <c r="F40" s="4" t="s">
        <v>34</v>
      </c>
      <c r="G40" s="4" t="s">
        <v>23</v>
      </c>
      <c r="H40" s="2">
        <v>10.9</v>
      </c>
      <c r="I40" s="2">
        <v>330</v>
      </c>
      <c r="J40" s="2">
        <v>25</v>
      </c>
      <c r="K40" s="2">
        <v>4.8</v>
      </c>
      <c r="L40" s="2">
        <v>4.7</v>
      </c>
      <c r="M40" s="2">
        <v>35</v>
      </c>
      <c r="N40" s="4" t="s">
        <v>19</v>
      </c>
    </row>
    <row r="41" spans="1:14" ht="30" x14ac:dyDescent="0.25">
      <c r="A41" s="4" t="s">
        <v>73</v>
      </c>
      <c r="B41" s="5">
        <v>46241</v>
      </c>
      <c r="C41" s="4" t="s">
        <v>42</v>
      </c>
      <c r="D41" s="4" t="s">
        <v>16</v>
      </c>
      <c r="E41" s="4" t="s">
        <v>27</v>
      </c>
      <c r="F41" s="4" t="s">
        <v>17</v>
      </c>
      <c r="G41" s="4" t="s">
        <v>18</v>
      </c>
      <c r="H41" s="2">
        <v>16.8</v>
      </c>
      <c r="I41" s="2">
        <v>495</v>
      </c>
      <c r="J41" s="2">
        <v>50</v>
      </c>
      <c r="K41" s="2">
        <v>4.7</v>
      </c>
      <c r="L41" s="2">
        <v>4.5999999999999996</v>
      </c>
      <c r="M41" s="2">
        <v>40</v>
      </c>
      <c r="N41" s="4" t="s">
        <v>19</v>
      </c>
    </row>
    <row r="42" spans="1:14" ht="30" x14ac:dyDescent="0.25">
      <c r="A42" s="4" t="s">
        <v>74</v>
      </c>
      <c r="B42" s="5">
        <v>46242</v>
      </c>
      <c r="C42" s="4" t="s">
        <v>29</v>
      </c>
      <c r="D42" s="4" t="s">
        <v>38</v>
      </c>
      <c r="E42" s="4" t="s">
        <v>2</v>
      </c>
      <c r="F42" s="4" t="s">
        <v>22</v>
      </c>
      <c r="G42" s="4" t="s">
        <v>18</v>
      </c>
      <c r="H42" s="2">
        <v>3.9</v>
      </c>
      <c r="I42" s="2">
        <v>92</v>
      </c>
      <c r="J42" s="2">
        <v>5</v>
      </c>
      <c r="K42" s="2">
        <v>4.5</v>
      </c>
      <c r="L42" s="2">
        <v>4.3</v>
      </c>
      <c r="M42" s="2">
        <v>15</v>
      </c>
      <c r="N42" s="4" t="s">
        <v>19</v>
      </c>
    </row>
    <row r="43" spans="1:14" ht="30" x14ac:dyDescent="0.25">
      <c r="A43" s="4" t="s">
        <v>75</v>
      </c>
      <c r="B43" s="5">
        <v>46242</v>
      </c>
      <c r="C43" s="4" t="s">
        <v>32</v>
      </c>
      <c r="D43" s="4" t="s">
        <v>33</v>
      </c>
      <c r="E43" s="4" t="s">
        <v>2</v>
      </c>
      <c r="F43" s="4" t="s">
        <v>34</v>
      </c>
      <c r="G43" s="4" t="s">
        <v>23</v>
      </c>
      <c r="H43" s="2">
        <v>15.2</v>
      </c>
      <c r="I43" s="2">
        <v>575</v>
      </c>
      <c r="J43" s="2">
        <v>50</v>
      </c>
      <c r="K43" s="2">
        <v>4.9000000000000004</v>
      </c>
      <c r="L43" s="2">
        <v>4.8</v>
      </c>
      <c r="M43" s="2">
        <v>45</v>
      </c>
      <c r="N43" s="4" t="s">
        <v>19</v>
      </c>
    </row>
    <row r="44" spans="1:14" ht="30" x14ac:dyDescent="0.25">
      <c r="A44" s="4" t="s">
        <v>76</v>
      </c>
      <c r="B44" s="5">
        <v>46242</v>
      </c>
      <c r="C44" s="4" t="s">
        <v>36</v>
      </c>
      <c r="D44" s="4" t="s">
        <v>16</v>
      </c>
      <c r="E44" s="4" t="s">
        <v>2</v>
      </c>
      <c r="F44" s="4" t="s">
        <v>17</v>
      </c>
      <c r="G44" s="4" t="s">
        <v>30</v>
      </c>
      <c r="H44" s="2">
        <v>8.8000000000000007</v>
      </c>
      <c r="I44" s="2">
        <v>255</v>
      </c>
      <c r="J44" s="2">
        <v>0</v>
      </c>
      <c r="K44" s="2">
        <v>4.5999999999999996</v>
      </c>
      <c r="L44" s="2">
        <v>4.5</v>
      </c>
      <c r="M44" s="2">
        <v>28</v>
      </c>
      <c r="N44" s="4" t="s">
        <v>19</v>
      </c>
    </row>
    <row r="45" spans="1:14" ht="30" x14ac:dyDescent="0.25">
      <c r="A45" s="4" t="s">
        <v>77</v>
      </c>
      <c r="B45" s="5">
        <v>46242</v>
      </c>
      <c r="C45" s="4" t="s">
        <v>15</v>
      </c>
      <c r="D45" s="4" t="s">
        <v>16</v>
      </c>
      <c r="E45" s="4" t="s">
        <v>2</v>
      </c>
      <c r="F45" s="4" t="s">
        <v>17</v>
      </c>
      <c r="G45" s="4" t="s">
        <v>18</v>
      </c>
      <c r="H45" s="2">
        <v>10.1</v>
      </c>
      <c r="I45" s="2">
        <v>300</v>
      </c>
      <c r="J45" s="2">
        <v>25</v>
      </c>
      <c r="K45" s="2">
        <v>4.8</v>
      </c>
      <c r="L45" s="2">
        <v>4.7</v>
      </c>
      <c r="M45" s="2">
        <v>33</v>
      </c>
      <c r="N45" s="4" t="s">
        <v>19</v>
      </c>
    </row>
    <row r="46" spans="1:14" ht="30" x14ac:dyDescent="0.25">
      <c r="A46" s="4" t="s">
        <v>78</v>
      </c>
      <c r="B46" s="5">
        <v>46242</v>
      </c>
      <c r="C46" s="4" t="s">
        <v>21</v>
      </c>
      <c r="D46" s="4" t="s">
        <v>26</v>
      </c>
      <c r="E46" s="4" t="s">
        <v>27</v>
      </c>
      <c r="F46" s="4" t="s">
        <v>34</v>
      </c>
      <c r="G46" s="4" t="s">
        <v>23</v>
      </c>
      <c r="H46" s="2">
        <v>27.4</v>
      </c>
      <c r="I46" s="2">
        <v>850</v>
      </c>
      <c r="J46" s="2">
        <v>100</v>
      </c>
      <c r="K46" s="2">
        <v>4.9000000000000004</v>
      </c>
      <c r="L46" s="2">
        <v>4.9000000000000004</v>
      </c>
      <c r="M46" s="2">
        <v>64</v>
      </c>
      <c r="N46" s="4" t="s">
        <v>19</v>
      </c>
    </row>
    <row r="47" spans="1:14" ht="30" x14ac:dyDescent="0.25">
      <c r="A47" s="4" t="s">
        <v>79</v>
      </c>
      <c r="B47" s="5">
        <v>46242</v>
      </c>
      <c r="C47" s="4" t="s">
        <v>25</v>
      </c>
      <c r="D47" s="4" t="s">
        <v>38</v>
      </c>
      <c r="E47" s="4" t="s">
        <v>2</v>
      </c>
      <c r="F47" s="4" t="s">
        <v>22</v>
      </c>
      <c r="G47" s="4" t="s">
        <v>30</v>
      </c>
      <c r="H47" s="2">
        <v>4.0999999999999996</v>
      </c>
      <c r="I47" s="2">
        <v>95</v>
      </c>
      <c r="J47" s="2">
        <v>0</v>
      </c>
      <c r="K47" s="2">
        <v>4.2</v>
      </c>
      <c r="L47" s="2">
        <v>4</v>
      </c>
      <c r="M47" s="2">
        <v>17</v>
      </c>
      <c r="N47" s="4" t="s">
        <v>19</v>
      </c>
    </row>
    <row r="48" spans="1:14" ht="30" x14ac:dyDescent="0.25">
      <c r="A48" s="4" t="s">
        <v>80</v>
      </c>
      <c r="B48" s="5">
        <v>46243</v>
      </c>
      <c r="C48" s="4" t="s">
        <v>29</v>
      </c>
      <c r="D48" s="4" t="s">
        <v>16</v>
      </c>
      <c r="E48" s="4" t="s">
        <v>2</v>
      </c>
      <c r="F48" s="4" t="s">
        <v>17</v>
      </c>
      <c r="G48" s="4" t="s">
        <v>18</v>
      </c>
      <c r="H48" s="2">
        <v>7.9</v>
      </c>
      <c r="I48" s="2">
        <v>230</v>
      </c>
      <c r="J48" s="2">
        <v>20</v>
      </c>
      <c r="K48" s="2">
        <v>4.7</v>
      </c>
      <c r="L48" s="2">
        <v>4.5999999999999996</v>
      </c>
      <c r="M48" s="2">
        <v>26</v>
      </c>
      <c r="N48" s="4" t="s">
        <v>19</v>
      </c>
    </row>
    <row r="49" spans="1:14" ht="30" x14ac:dyDescent="0.25">
      <c r="A49" s="4" t="s">
        <v>81</v>
      </c>
      <c r="B49" s="5">
        <v>46243</v>
      </c>
      <c r="C49" s="4" t="s">
        <v>32</v>
      </c>
      <c r="D49" s="4" t="s">
        <v>26</v>
      </c>
      <c r="E49" s="4" t="s">
        <v>27</v>
      </c>
      <c r="F49" s="4" t="s">
        <v>17</v>
      </c>
      <c r="G49" s="4" t="s">
        <v>23</v>
      </c>
      <c r="H49" s="2">
        <v>20.5</v>
      </c>
      <c r="I49" s="2">
        <v>625</v>
      </c>
      <c r="J49" s="2">
        <v>65</v>
      </c>
      <c r="K49" s="2">
        <v>4.8</v>
      </c>
      <c r="L49" s="2">
        <v>4.7</v>
      </c>
      <c r="M49" s="2">
        <v>49</v>
      </c>
      <c r="N49" s="4" t="s">
        <v>19</v>
      </c>
    </row>
    <row r="50" spans="1:14" ht="30" x14ac:dyDescent="0.25">
      <c r="A50" s="4" t="s">
        <v>82</v>
      </c>
      <c r="B50" s="5">
        <v>46243</v>
      </c>
      <c r="C50" s="4" t="s">
        <v>42</v>
      </c>
      <c r="D50" s="4" t="s">
        <v>38</v>
      </c>
      <c r="E50" s="4" t="s">
        <v>2</v>
      </c>
      <c r="F50" s="4" t="s">
        <v>22</v>
      </c>
      <c r="G50" s="4" t="s">
        <v>18</v>
      </c>
      <c r="H50" s="2">
        <v>4.8</v>
      </c>
      <c r="I50" s="2">
        <v>105</v>
      </c>
      <c r="J50" s="2">
        <v>10</v>
      </c>
      <c r="K50" s="2">
        <v>4.5999999999999996</v>
      </c>
      <c r="L50" s="2">
        <v>4.4000000000000004</v>
      </c>
      <c r="M50" s="2">
        <v>18</v>
      </c>
      <c r="N50" s="4" t="s">
        <v>19</v>
      </c>
    </row>
    <row r="51" spans="1:14" ht="30" x14ac:dyDescent="0.25">
      <c r="A51" s="4" t="s">
        <v>83</v>
      </c>
      <c r="B51" s="5">
        <v>46243</v>
      </c>
      <c r="C51" s="4" t="s">
        <v>36</v>
      </c>
      <c r="D51" s="4" t="s">
        <v>16</v>
      </c>
      <c r="E51" s="4" t="s">
        <v>2</v>
      </c>
      <c r="F51" s="4" t="s">
        <v>17</v>
      </c>
      <c r="G51" s="4" t="s">
        <v>18</v>
      </c>
      <c r="H51" s="2">
        <v>9.6</v>
      </c>
      <c r="I51" s="2">
        <v>285</v>
      </c>
      <c r="J51" s="2">
        <v>25</v>
      </c>
      <c r="K51" s="2">
        <v>4.7</v>
      </c>
      <c r="L51" s="2">
        <v>4.5999999999999996</v>
      </c>
      <c r="M51" s="2">
        <v>32</v>
      </c>
      <c r="N51" s="4"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D38C-6161-49B9-95B0-BEC22C0A6E7B}">
  <dimension ref="A1:CF99"/>
  <sheetViews>
    <sheetView showGridLines="0" tabSelected="1" zoomScale="68" zoomScaleNormal="68" workbookViewId="0">
      <selection activeCell="W24" sqref="W24"/>
    </sheetView>
  </sheetViews>
  <sheetFormatPr defaultRowHeight="15" x14ac:dyDescent="0.25"/>
  <sheetData>
    <row r="1" spans="1:84" x14ac:dyDescent="0.2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row>
    <row r="2" spans="1:84"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row>
    <row r="3" spans="1:84" x14ac:dyDescent="0.2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row>
    <row r="4" spans="1:84" x14ac:dyDescent="0.2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row>
    <row r="5" spans="1:84" x14ac:dyDescent="0.2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row>
    <row r="6" spans="1:84" x14ac:dyDescent="0.2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row>
    <row r="7" spans="1:84" x14ac:dyDescent="0.2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row>
    <row r="8" spans="1:84" x14ac:dyDescent="0.2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row>
    <row r="9" spans="1:84" x14ac:dyDescent="0.2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row>
    <row r="10" spans="1:84" x14ac:dyDescent="0.2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row>
    <row r="11" spans="1:84"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row>
    <row r="12" spans="1:84"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row>
    <row r="13" spans="1:84"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row>
    <row r="14" spans="1:84"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row>
    <row r="15" spans="1:84"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row>
    <row r="16" spans="1:84"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row>
    <row r="17" spans="1:84"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row>
    <row r="18" spans="1:84"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row>
    <row r="19" spans="1:84"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row>
    <row r="20" spans="1:84"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row>
    <row r="21" spans="1:84"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row>
    <row r="22" spans="1:84"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row>
    <row r="23" spans="1:84"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row>
    <row r="24" spans="1:84"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row>
    <row r="25" spans="1:84"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row>
    <row r="26" spans="1:84"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row>
    <row r="27" spans="1:84"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row>
    <row r="28" spans="1:84"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row>
    <row r="29" spans="1:84"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row>
    <row r="30" spans="1:84"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row>
    <row r="31" spans="1:84"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row>
    <row r="32" spans="1:84"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row>
    <row r="33" spans="1:84"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row>
    <row r="34" spans="1:84"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row>
    <row r="35" spans="1:84"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row>
    <row r="36" spans="1:84"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row>
    <row r="37" spans="1:84"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row>
    <row r="38" spans="1:84"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row>
    <row r="39" spans="1:84"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row>
    <row r="40" spans="1:84"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row>
    <row r="41" spans="1:84"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row>
    <row r="42" spans="1:84"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row>
    <row r="43" spans="1:84"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row>
    <row r="44" spans="1:84"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row>
    <row r="45" spans="1:84"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row>
    <row r="46" spans="1:84"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row>
    <row r="47" spans="1:84"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row>
    <row r="48" spans="1:84"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row>
    <row r="49" spans="1:84"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row>
    <row r="50" spans="1:84"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row>
    <row r="51" spans="1:84"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row>
    <row r="52" spans="1:84"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row>
    <row r="53" spans="1:84"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row>
    <row r="54" spans="1:84"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row>
    <row r="55" spans="1:84"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row>
    <row r="56" spans="1:84"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row>
    <row r="57" spans="1:84"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row>
    <row r="58" spans="1:84"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row>
    <row r="59" spans="1:84"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row>
    <row r="60" spans="1:84"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row>
    <row r="61" spans="1:84"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row>
    <row r="62" spans="1:84"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row>
    <row r="63" spans="1:84"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row>
    <row r="64" spans="1:84"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row>
    <row r="65" spans="1:84"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row>
    <row r="66" spans="1:84"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row>
    <row r="67" spans="1:84"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row>
    <row r="68" spans="1:84"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row>
    <row r="69" spans="1:84"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row>
    <row r="70" spans="1:84"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row>
    <row r="71" spans="1:84"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row>
    <row r="72" spans="1:84"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row>
    <row r="73" spans="1:84"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row>
    <row r="74" spans="1:84"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row>
    <row r="75" spans="1:84"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row>
    <row r="76" spans="1:84"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row>
    <row r="77" spans="1:84"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row>
    <row r="78" spans="1:84"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row>
    <row r="79" spans="1:84"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row>
    <row r="80" spans="1:84" x14ac:dyDescent="0.2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row>
    <row r="81" spans="1:84" x14ac:dyDescent="0.2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row>
    <row r="82" spans="1:84" x14ac:dyDescent="0.2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row>
    <row r="83" spans="1:84" x14ac:dyDescent="0.2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row>
    <row r="84" spans="1:84" x14ac:dyDescent="0.2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row>
    <row r="85" spans="1:84" x14ac:dyDescent="0.2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row>
    <row r="86" spans="1:84" x14ac:dyDescent="0.2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row>
    <row r="87" spans="1:84"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row>
    <row r="88" spans="1:84" x14ac:dyDescent="0.2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row>
    <row r="89" spans="1:84" x14ac:dyDescent="0.2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row>
    <row r="90" spans="1:84" x14ac:dyDescent="0.2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row>
    <row r="91" spans="1:84" x14ac:dyDescent="0.2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row>
    <row r="92" spans="1:84" x14ac:dyDescent="0.2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row>
    <row r="93" spans="1:84" x14ac:dyDescent="0.2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row>
    <row r="94" spans="1:84" x14ac:dyDescent="0.2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row>
    <row r="95" spans="1:84" x14ac:dyDescent="0.2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row>
    <row r="96" spans="1:84" x14ac:dyDescent="0.2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row>
    <row r="97" spans="1:84" x14ac:dyDescent="0.2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row>
    <row r="98" spans="1:84" x14ac:dyDescent="0.2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row>
    <row r="99" spans="1:84" x14ac:dyDescent="0.2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4EB7-F9CB-41D8-A9B3-ACFA7680C953}">
  <dimension ref="A1:C27"/>
  <sheetViews>
    <sheetView showGridLines="0" zoomScale="115" zoomScaleNormal="115" workbookViewId="0">
      <selection activeCell="A11" sqref="A11"/>
    </sheetView>
  </sheetViews>
  <sheetFormatPr defaultRowHeight="15" x14ac:dyDescent="0.25"/>
  <cols>
    <col min="1" max="1" width="30.85546875" customWidth="1"/>
    <col min="2" max="2" width="61.42578125" customWidth="1"/>
    <col min="3" max="3" width="10.140625" customWidth="1"/>
  </cols>
  <sheetData>
    <row r="1" spans="1:3" x14ac:dyDescent="0.25">
      <c r="A1" s="8" t="s">
        <v>84</v>
      </c>
      <c r="B1" s="11" t="s">
        <v>85</v>
      </c>
      <c r="C1" t="s">
        <v>119</v>
      </c>
    </row>
    <row r="2" spans="1:3" x14ac:dyDescent="0.25">
      <c r="A2" s="10" t="s">
        <v>86</v>
      </c>
      <c r="B2" s="12" t="s">
        <v>87</v>
      </c>
      <c r="C2">
        <f>COUNTA(Table1[Ride_ID])</f>
        <v>50</v>
      </c>
    </row>
    <row r="3" spans="1:3" x14ac:dyDescent="0.25">
      <c r="A3" s="10" t="s">
        <v>88</v>
      </c>
      <c r="B3" s="12" t="s">
        <v>89</v>
      </c>
      <c r="C3">
        <f>COUNTIF(Table1[Status],DASHBOARD!N2)</f>
        <v>47</v>
      </c>
    </row>
    <row r="4" spans="1:3" x14ac:dyDescent="0.25">
      <c r="A4" s="10" t="s">
        <v>90</v>
      </c>
      <c r="B4" s="12" t="s">
        <v>91</v>
      </c>
      <c r="C4">
        <f>SUM(Table1[Fare_INR])</f>
        <v>18042</v>
      </c>
    </row>
    <row r="5" spans="1:3" x14ac:dyDescent="0.25">
      <c r="A5" s="10" t="s">
        <v>92</v>
      </c>
      <c r="B5" s="12" t="s">
        <v>93</v>
      </c>
      <c r="C5">
        <f>AVERAGE(Table1[Fare_INR])</f>
        <v>360.84</v>
      </c>
    </row>
    <row r="6" spans="1:3" x14ac:dyDescent="0.25">
      <c r="A6" s="10" t="s">
        <v>94</v>
      </c>
      <c r="B6" s="12" t="s">
        <v>95</v>
      </c>
      <c r="C6">
        <f>AVERAGE(Table1[Customer_Rating])</f>
        <v>4.5640000000000001</v>
      </c>
    </row>
    <row r="9" spans="1:3" x14ac:dyDescent="0.25">
      <c r="A9" s="8" t="s">
        <v>96</v>
      </c>
      <c r="B9" s="8" t="s">
        <v>97</v>
      </c>
    </row>
    <row r="10" spans="1:3" x14ac:dyDescent="0.25">
      <c r="A10" s="9" t="s">
        <v>98</v>
      </c>
      <c r="B10" s="10" t="s">
        <v>99</v>
      </c>
    </row>
    <row r="11" spans="1:3" x14ac:dyDescent="0.25">
      <c r="A11" s="9" t="s">
        <v>100</v>
      </c>
      <c r="B11" s="10" t="s">
        <v>101</v>
      </c>
    </row>
    <row r="12" spans="1:3" x14ac:dyDescent="0.25">
      <c r="A12" s="9" t="s">
        <v>102</v>
      </c>
      <c r="B12" s="10" t="s">
        <v>103</v>
      </c>
    </row>
    <row r="13" spans="1:3" x14ac:dyDescent="0.25">
      <c r="A13" s="9" t="s">
        <v>104</v>
      </c>
      <c r="B13" s="10" t="s">
        <v>105</v>
      </c>
    </row>
    <row r="14" spans="1:3" x14ac:dyDescent="0.25">
      <c r="A14" s="9" t="s">
        <v>106</v>
      </c>
      <c r="B14" s="10" t="s">
        <v>107</v>
      </c>
    </row>
    <row r="15" spans="1:3" x14ac:dyDescent="0.25">
      <c r="A15" s="9" t="s">
        <v>108</v>
      </c>
      <c r="B15" s="10" t="s">
        <v>109</v>
      </c>
    </row>
    <row r="16" spans="1:3" x14ac:dyDescent="0.25">
      <c r="A16" s="9" t="s">
        <v>110</v>
      </c>
      <c r="B16" s="10" t="s">
        <v>111</v>
      </c>
    </row>
    <row r="17" spans="1:2" x14ac:dyDescent="0.25">
      <c r="A17" s="9" t="s">
        <v>112</v>
      </c>
      <c r="B17" s="10" t="s">
        <v>113</v>
      </c>
    </row>
    <row r="19" spans="1:2" ht="18" x14ac:dyDescent="0.25">
      <c r="A19" s="6" t="s">
        <v>114</v>
      </c>
    </row>
    <row r="20" spans="1:2" x14ac:dyDescent="0.25">
      <c r="A20" s="7"/>
    </row>
    <row r="21" spans="1:2" x14ac:dyDescent="0.25">
      <c r="A21" s="7" t="s">
        <v>1</v>
      </c>
    </row>
    <row r="22" spans="1:2" x14ac:dyDescent="0.25">
      <c r="A22" s="7" t="s">
        <v>2</v>
      </c>
    </row>
    <row r="23" spans="1:2" x14ac:dyDescent="0.25">
      <c r="A23" s="7" t="s">
        <v>115</v>
      </c>
    </row>
    <row r="24" spans="1:2" x14ac:dyDescent="0.25">
      <c r="A24" s="7" t="s">
        <v>116</v>
      </c>
    </row>
    <row r="25" spans="1:2" x14ac:dyDescent="0.25">
      <c r="A25" s="7" t="s">
        <v>117</v>
      </c>
    </row>
    <row r="26" spans="1:2" x14ac:dyDescent="0.25">
      <c r="A26" s="7" t="s">
        <v>118</v>
      </c>
    </row>
    <row r="27" spans="1:2" x14ac:dyDescent="0.25">
      <c r="A27" s="7"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Sheet3</vt:lpstr>
      <vt:lpstr>CONTENTS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edakuni</dc:creator>
  <cp:lastModifiedBy>ajukkty@gmail.com</cp:lastModifiedBy>
  <dcterms:created xsi:type="dcterms:W3CDTF">2026-08-10T04:14:19Z</dcterms:created>
  <dcterms:modified xsi:type="dcterms:W3CDTF">2026-08-13T18:30:24Z</dcterms:modified>
</cp:coreProperties>
</file>