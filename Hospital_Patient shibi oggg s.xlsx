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no\AppData\Roaming\Microsoft\Windows\Network Shortcuts\"/>
    </mc:Choice>
  </mc:AlternateContent>
  <xr:revisionPtr revIDLastSave="0" documentId="8_{DCA43DD9-C62E-4767-B0E3-FD9CE1AA72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2" r:id="rId1"/>
    <sheet name="Scenario Summary" sheetId="4" r:id="rId2"/>
    <sheet name="Sheet1" sheetId="3" r:id="rId3"/>
    <sheet name="HospitalData" sheetId="1" r:id="rId4"/>
  </sheets>
  <definedNames>
    <definedName name="ExternalData_1" localSheetId="0" hidden="1">Table1!$A$1:$N$297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2" l="1"/>
  <c r="T7" i="2"/>
  <c r="T9" i="2"/>
  <c r="T10" i="2"/>
  <c r="A2" i="3"/>
  <c r="C2" i="3" s="1"/>
  <c r="O47" i="2"/>
  <c r="O104" i="2"/>
  <c r="O240" i="2"/>
  <c r="O23" i="2"/>
  <c r="O285" i="2"/>
  <c r="O248" i="2"/>
  <c r="O254" i="2"/>
  <c r="O241" i="2"/>
  <c r="O129" i="2"/>
  <c r="O118" i="2"/>
  <c r="O73" i="2"/>
  <c r="O151" i="2"/>
  <c r="O294" i="2"/>
  <c r="O200" i="2"/>
  <c r="O195" i="2"/>
  <c r="O283" i="2"/>
  <c r="O110" i="2"/>
  <c r="O224" i="2"/>
  <c r="O35" i="2"/>
  <c r="O63" i="2"/>
  <c r="O38" i="2"/>
  <c r="O109" i="2"/>
  <c r="O9" i="2"/>
  <c r="O16" i="2"/>
  <c r="O289" i="2"/>
  <c r="O88" i="2"/>
  <c r="O268" i="2"/>
  <c r="O183" i="2"/>
  <c r="O17" i="2"/>
  <c r="O234" i="2"/>
  <c r="O161" i="2"/>
  <c r="O278" i="2"/>
  <c r="O96" i="2"/>
  <c r="O25" i="2"/>
  <c r="O117" i="2"/>
  <c r="O262" i="2"/>
  <c r="O166" i="2"/>
  <c r="O10" i="2"/>
  <c r="O205" i="2"/>
  <c r="O85" i="2"/>
  <c r="O8" i="2"/>
  <c r="O122" i="2"/>
  <c r="O21" i="2"/>
  <c r="O193" i="2"/>
  <c r="O277" i="2"/>
  <c r="O279" i="2"/>
  <c r="O128" i="2"/>
  <c r="O189" i="2"/>
  <c r="O22" i="2"/>
  <c r="O125" i="2"/>
  <c r="O48" i="2"/>
  <c r="O201" i="2"/>
  <c r="O134" i="2"/>
  <c r="O87" i="2"/>
  <c r="O14" i="2"/>
  <c r="O245" i="2"/>
  <c r="O79" i="2"/>
  <c r="O59" i="2"/>
  <c r="O98" i="2"/>
  <c r="O238" i="2"/>
  <c r="O5" i="2"/>
  <c r="O142" i="2"/>
  <c r="O256" i="2"/>
  <c r="O26" i="2"/>
  <c r="O228" i="2"/>
  <c r="O106" i="2"/>
  <c r="O184" i="2"/>
  <c r="O286" i="2"/>
  <c r="O53" i="2"/>
  <c r="O165" i="2"/>
  <c r="O27" i="2"/>
  <c r="O137" i="2"/>
  <c r="O65" i="2"/>
  <c r="O36" i="2"/>
  <c r="O152" i="2"/>
  <c r="O257" i="2"/>
  <c r="O68" i="2"/>
  <c r="O138" i="2"/>
  <c r="O215" i="2"/>
  <c r="O55" i="2"/>
  <c r="O32" i="2"/>
  <c r="O97" i="2"/>
  <c r="O167" i="2"/>
  <c r="O153" i="2"/>
  <c r="O69" i="2"/>
  <c r="O250" i="2"/>
  <c r="O246" i="2"/>
  <c r="O297" i="2"/>
  <c r="O206" i="2"/>
  <c r="O146" i="2"/>
  <c r="O62" i="2"/>
  <c r="O202" i="2"/>
  <c r="O237" i="2"/>
  <c r="O95" i="2"/>
  <c r="O288" i="2"/>
  <c r="O204" i="2"/>
  <c r="O284" i="2"/>
  <c r="O242" i="2"/>
  <c r="O255" i="2"/>
  <c r="O58" i="2"/>
  <c r="O3" i="2"/>
  <c r="O216" i="2"/>
  <c r="O76" i="2"/>
  <c r="O212" i="2"/>
  <c r="O37" i="2"/>
  <c r="O11" i="2"/>
  <c r="O229" i="2"/>
  <c r="O260" i="2"/>
  <c r="O291" i="2"/>
  <c r="O52" i="2"/>
  <c r="O203" i="2"/>
  <c r="O61" i="2"/>
  <c r="O139" i="2"/>
  <c r="O190" i="2"/>
  <c r="O31" i="2"/>
  <c r="O130" i="2"/>
  <c r="O292" i="2"/>
  <c r="O247" i="2"/>
  <c r="O77" i="2"/>
  <c r="O243" i="2"/>
  <c r="O160" i="2"/>
  <c r="O208" i="2"/>
  <c r="O57" i="2"/>
  <c r="O259" i="2"/>
  <c r="O124" i="2"/>
  <c r="O60" i="2"/>
  <c r="O34" i="2"/>
  <c r="O102" i="2"/>
  <c r="O282" i="2"/>
  <c r="O211" i="2"/>
  <c r="O82" i="2"/>
  <c r="O133" i="2"/>
  <c r="O155" i="2"/>
  <c r="O89" i="2"/>
  <c r="O187" i="2"/>
  <c r="O264" i="2"/>
  <c r="O46" i="2"/>
  <c r="O12" i="2"/>
  <c r="O64" i="2"/>
  <c r="O74" i="2"/>
  <c r="O269" i="2"/>
  <c r="O66" i="2"/>
  <c r="O43" i="2"/>
  <c r="O39" i="2"/>
  <c r="O180" i="2"/>
  <c r="O171" i="2"/>
  <c r="O147" i="2"/>
  <c r="O178" i="2"/>
  <c r="O107" i="2"/>
  <c r="O249" i="2"/>
  <c r="O140" i="2"/>
  <c r="O132" i="2"/>
  <c r="O162" i="2"/>
  <c r="O145" i="2"/>
  <c r="O119" i="2"/>
  <c r="O176" i="2"/>
  <c r="O158" i="2"/>
  <c r="O197" i="2"/>
  <c r="O274" i="2"/>
  <c r="O143" i="2"/>
  <c r="O123" i="2"/>
  <c r="O29" i="2"/>
  <c r="O56" i="2"/>
  <c r="O115" i="2"/>
  <c r="O199" i="2"/>
  <c r="O223" i="2"/>
  <c r="O276" i="2"/>
  <c r="O185" i="2"/>
  <c r="O20" i="2"/>
  <c r="O86" i="2"/>
  <c r="O150" i="2"/>
  <c r="O173" i="2"/>
  <c r="O280" i="2"/>
  <c r="O83" i="2"/>
  <c r="O70" i="2"/>
  <c r="O42" i="2"/>
  <c r="O251" i="2"/>
  <c r="O266" i="2"/>
  <c r="O78" i="2"/>
  <c r="O231" i="2"/>
  <c r="O100" i="2"/>
  <c r="O272" i="2"/>
  <c r="O7" i="2"/>
  <c r="O18" i="2"/>
  <c r="O75" i="2"/>
  <c r="O113" i="2"/>
  <c r="O90" i="2"/>
  <c r="O71" i="2"/>
  <c r="O127" i="2"/>
  <c r="O225" i="2"/>
  <c r="O101" i="2"/>
  <c r="O92" i="2"/>
  <c r="O93" i="2"/>
  <c r="O230" i="2"/>
  <c r="O2" i="2"/>
  <c r="O281" i="2"/>
  <c r="O28" i="2"/>
  <c r="O156" i="2"/>
  <c r="O186" i="2"/>
  <c r="O80" i="2"/>
  <c r="O6" i="2"/>
  <c r="O4" i="2"/>
  <c r="O168" i="2"/>
  <c r="O287" i="2"/>
  <c r="O261" i="2"/>
  <c r="O210" i="2"/>
  <c r="O13" i="2"/>
  <c r="O194" i="2"/>
  <c r="O220" i="2"/>
  <c r="O33" i="2"/>
  <c r="O207" i="2"/>
  <c r="O175" i="2"/>
  <c r="O81" i="2"/>
  <c r="O44" i="2"/>
  <c r="O214" i="2"/>
  <c r="O275" i="2"/>
  <c r="O105" i="2"/>
  <c r="O218" i="2"/>
  <c r="O267" i="2"/>
  <c r="O221" i="2"/>
  <c r="O239" i="2"/>
  <c r="O112" i="2"/>
  <c r="O252" i="2"/>
  <c r="O217" i="2"/>
  <c r="O182" i="2"/>
  <c r="O236" i="2"/>
  <c r="O164" i="2"/>
  <c r="O121" i="2"/>
  <c r="O148" i="2"/>
  <c r="O30" i="2"/>
  <c r="O270" i="2"/>
  <c r="O103" i="2"/>
  <c r="O174" i="2"/>
  <c r="O253" i="2"/>
  <c r="O41" i="2"/>
  <c r="O244" i="2"/>
  <c r="O196" i="2"/>
  <c r="O91" i="2"/>
  <c r="O290" i="2"/>
  <c r="O149" i="2"/>
  <c r="O94" i="2"/>
  <c r="O191" i="2"/>
  <c r="O19" i="2"/>
  <c r="O198" i="2"/>
  <c r="O144" i="2"/>
  <c r="O136" i="2"/>
  <c r="O40" i="2"/>
  <c r="O271" i="2"/>
  <c r="O188" i="2"/>
  <c r="O50" i="2"/>
  <c r="O265" i="2"/>
  <c r="O163" i="2"/>
  <c r="O111" i="2"/>
  <c r="O213" i="2"/>
  <c r="O131" i="2"/>
  <c r="O192" i="2"/>
  <c r="O51" i="2"/>
  <c r="O295" i="2"/>
  <c r="O108" i="2"/>
  <c r="O116" i="2"/>
  <c r="O135" i="2"/>
  <c r="O222" i="2"/>
  <c r="O15" i="2"/>
  <c r="O169" i="2"/>
  <c r="O219" i="2"/>
  <c r="O114" i="2"/>
  <c r="O181" i="2"/>
  <c r="O170" i="2"/>
  <c r="O177" i="2"/>
  <c r="O141" i="2"/>
  <c r="O157" i="2"/>
  <c r="O126" i="2"/>
  <c r="O67" i="2"/>
  <c r="O296" i="2"/>
  <c r="O235" i="2"/>
  <c r="O45" i="2"/>
  <c r="O159" i="2"/>
  <c r="O154" i="2"/>
  <c r="O179" i="2"/>
  <c r="O293" i="2"/>
  <c r="O227" i="2"/>
  <c r="O273" i="2"/>
  <c r="O84" i="2"/>
  <c r="O226" i="2"/>
  <c r="O263" i="2"/>
  <c r="O49" i="2"/>
  <c r="O120" i="2"/>
  <c r="O99" i="2"/>
  <c r="O72" i="2"/>
  <c r="O54" i="2"/>
  <c r="O233" i="2"/>
  <c r="O172" i="2"/>
  <c r="O232" i="2"/>
  <c r="O209" i="2"/>
  <c r="O24" i="2"/>
  <c r="O258" i="2"/>
  <c r="P47" i="2"/>
  <c r="P104" i="2"/>
  <c r="P240" i="2"/>
  <c r="P23" i="2"/>
  <c r="P285" i="2"/>
  <c r="P248" i="2"/>
  <c r="P254" i="2"/>
  <c r="P241" i="2"/>
  <c r="P129" i="2"/>
  <c r="P118" i="2"/>
  <c r="P73" i="2"/>
  <c r="P151" i="2"/>
  <c r="P294" i="2"/>
  <c r="P200" i="2"/>
  <c r="P195" i="2"/>
  <c r="P283" i="2"/>
  <c r="P110" i="2"/>
  <c r="P224" i="2"/>
  <c r="P35" i="2"/>
  <c r="P63" i="2"/>
  <c r="P38" i="2"/>
  <c r="P109" i="2"/>
  <c r="P9" i="2"/>
  <c r="P16" i="2"/>
  <c r="P289" i="2"/>
  <c r="P88" i="2"/>
  <c r="P268" i="2"/>
  <c r="P183" i="2"/>
  <c r="P17" i="2"/>
  <c r="P234" i="2"/>
  <c r="P161" i="2"/>
  <c r="P278" i="2"/>
  <c r="P96" i="2"/>
  <c r="P25" i="2"/>
  <c r="P117" i="2"/>
  <c r="P262" i="2"/>
  <c r="P166" i="2"/>
  <c r="P10" i="2"/>
  <c r="P205" i="2"/>
  <c r="P85" i="2"/>
  <c r="P8" i="2"/>
  <c r="P122" i="2"/>
  <c r="P21" i="2"/>
  <c r="P193" i="2"/>
  <c r="P277" i="2"/>
  <c r="P279" i="2"/>
  <c r="P128" i="2"/>
  <c r="P189" i="2"/>
  <c r="P22" i="2"/>
  <c r="P125" i="2"/>
  <c r="P48" i="2"/>
  <c r="P201" i="2"/>
  <c r="P134" i="2"/>
  <c r="P87" i="2"/>
  <c r="P14" i="2"/>
  <c r="P245" i="2"/>
  <c r="P79" i="2"/>
  <c r="P59" i="2"/>
  <c r="P98" i="2"/>
  <c r="P238" i="2"/>
  <c r="P5" i="2"/>
  <c r="P142" i="2"/>
  <c r="P256" i="2"/>
  <c r="P26" i="2"/>
  <c r="P228" i="2"/>
  <c r="P106" i="2"/>
  <c r="P184" i="2"/>
  <c r="P286" i="2"/>
  <c r="P53" i="2"/>
  <c r="P165" i="2"/>
  <c r="P27" i="2"/>
  <c r="P137" i="2"/>
  <c r="P65" i="2"/>
  <c r="P36" i="2"/>
  <c r="P152" i="2"/>
  <c r="P257" i="2"/>
  <c r="P68" i="2"/>
  <c r="P138" i="2"/>
  <c r="P215" i="2"/>
  <c r="P55" i="2"/>
  <c r="P32" i="2"/>
  <c r="P97" i="2"/>
  <c r="P167" i="2"/>
  <c r="P153" i="2"/>
  <c r="P69" i="2"/>
  <c r="P250" i="2"/>
  <c r="P246" i="2"/>
  <c r="P297" i="2"/>
  <c r="P206" i="2"/>
  <c r="P146" i="2"/>
  <c r="P62" i="2"/>
  <c r="P202" i="2"/>
  <c r="P237" i="2"/>
  <c r="P95" i="2"/>
  <c r="P288" i="2"/>
  <c r="P204" i="2"/>
  <c r="P284" i="2"/>
  <c r="P242" i="2"/>
  <c r="P255" i="2"/>
  <c r="P58" i="2"/>
  <c r="P3" i="2"/>
  <c r="P216" i="2"/>
  <c r="P76" i="2"/>
  <c r="P212" i="2"/>
  <c r="P37" i="2"/>
  <c r="P11" i="2"/>
  <c r="P229" i="2"/>
  <c r="P260" i="2"/>
  <c r="P291" i="2"/>
  <c r="P52" i="2"/>
  <c r="P203" i="2"/>
  <c r="P61" i="2"/>
  <c r="P139" i="2"/>
  <c r="P190" i="2"/>
  <c r="P31" i="2"/>
  <c r="P130" i="2"/>
  <c r="P292" i="2"/>
  <c r="P247" i="2"/>
  <c r="P77" i="2"/>
  <c r="P243" i="2"/>
  <c r="P160" i="2"/>
  <c r="P208" i="2"/>
  <c r="P57" i="2"/>
  <c r="P259" i="2"/>
  <c r="P124" i="2"/>
  <c r="P60" i="2"/>
  <c r="P34" i="2"/>
  <c r="P102" i="2"/>
  <c r="P282" i="2"/>
  <c r="P211" i="2"/>
  <c r="P82" i="2"/>
  <c r="P133" i="2"/>
  <c r="P155" i="2"/>
  <c r="P89" i="2"/>
  <c r="P187" i="2"/>
  <c r="P264" i="2"/>
  <c r="P46" i="2"/>
  <c r="P12" i="2"/>
  <c r="P64" i="2"/>
  <c r="P74" i="2"/>
  <c r="P269" i="2"/>
  <c r="P66" i="2"/>
  <c r="P43" i="2"/>
  <c r="P39" i="2"/>
  <c r="P180" i="2"/>
  <c r="P171" i="2"/>
  <c r="P147" i="2"/>
  <c r="P178" i="2"/>
  <c r="P107" i="2"/>
  <c r="P249" i="2"/>
  <c r="P140" i="2"/>
  <c r="P132" i="2"/>
  <c r="P162" i="2"/>
  <c r="P145" i="2"/>
  <c r="P119" i="2"/>
  <c r="P176" i="2"/>
  <c r="P158" i="2"/>
  <c r="P197" i="2"/>
  <c r="P274" i="2"/>
  <c r="P143" i="2"/>
  <c r="P123" i="2"/>
  <c r="P29" i="2"/>
  <c r="P56" i="2"/>
  <c r="P115" i="2"/>
  <c r="P199" i="2"/>
  <c r="P223" i="2"/>
  <c r="P276" i="2"/>
  <c r="P185" i="2"/>
  <c r="P20" i="2"/>
  <c r="P86" i="2"/>
  <c r="P150" i="2"/>
  <c r="P173" i="2"/>
  <c r="P280" i="2"/>
  <c r="P83" i="2"/>
  <c r="P70" i="2"/>
  <c r="P42" i="2"/>
  <c r="P251" i="2"/>
  <c r="P266" i="2"/>
  <c r="P78" i="2"/>
  <c r="P231" i="2"/>
  <c r="P100" i="2"/>
  <c r="P272" i="2"/>
  <c r="P7" i="2"/>
  <c r="P18" i="2"/>
  <c r="P75" i="2"/>
  <c r="P113" i="2"/>
  <c r="P90" i="2"/>
  <c r="P71" i="2"/>
  <c r="P127" i="2"/>
  <c r="P225" i="2"/>
  <c r="P101" i="2"/>
  <c r="P92" i="2"/>
  <c r="P93" i="2"/>
  <c r="P230" i="2"/>
  <c r="P2" i="2"/>
  <c r="P281" i="2"/>
  <c r="P28" i="2"/>
  <c r="P156" i="2"/>
  <c r="P186" i="2"/>
  <c r="P80" i="2"/>
  <c r="P6" i="2"/>
  <c r="P4" i="2"/>
  <c r="P168" i="2"/>
  <c r="P287" i="2"/>
  <c r="P261" i="2"/>
  <c r="P210" i="2"/>
  <c r="P13" i="2"/>
  <c r="P194" i="2"/>
  <c r="P220" i="2"/>
  <c r="P33" i="2"/>
  <c r="P207" i="2"/>
  <c r="P175" i="2"/>
  <c r="P81" i="2"/>
  <c r="P44" i="2"/>
  <c r="P214" i="2"/>
  <c r="P275" i="2"/>
  <c r="P105" i="2"/>
  <c r="P218" i="2"/>
  <c r="P267" i="2"/>
  <c r="P221" i="2"/>
  <c r="P239" i="2"/>
  <c r="P112" i="2"/>
  <c r="P252" i="2"/>
  <c r="P217" i="2"/>
  <c r="P182" i="2"/>
  <c r="P236" i="2"/>
  <c r="P164" i="2"/>
  <c r="P121" i="2"/>
  <c r="P148" i="2"/>
  <c r="P30" i="2"/>
  <c r="P270" i="2"/>
  <c r="P103" i="2"/>
  <c r="P174" i="2"/>
  <c r="P253" i="2"/>
  <c r="P41" i="2"/>
  <c r="P244" i="2"/>
  <c r="P196" i="2"/>
  <c r="P91" i="2"/>
  <c r="P290" i="2"/>
  <c r="P149" i="2"/>
  <c r="P94" i="2"/>
  <c r="P191" i="2"/>
  <c r="P19" i="2"/>
  <c r="P198" i="2"/>
  <c r="P144" i="2"/>
  <c r="P136" i="2"/>
  <c r="P40" i="2"/>
  <c r="P271" i="2"/>
  <c r="P188" i="2"/>
  <c r="P50" i="2"/>
  <c r="P265" i="2"/>
  <c r="P163" i="2"/>
  <c r="P111" i="2"/>
  <c r="P213" i="2"/>
  <c r="P131" i="2"/>
  <c r="P192" i="2"/>
  <c r="P51" i="2"/>
  <c r="P295" i="2"/>
  <c r="P108" i="2"/>
  <c r="P116" i="2"/>
  <c r="P135" i="2"/>
  <c r="P222" i="2"/>
  <c r="P15" i="2"/>
  <c r="P169" i="2"/>
  <c r="P219" i="2"/>
  <c r="P114" i="2"/>
  <c r="P181" i="2"/>
  <c r="P170" i="2"/>
  <c r="P177" i="2"/>
  <c r="P141" i="2"/>
  <c r="P157" i="2"/>
  <c r="P126" i="2"/>
  <c r="P67" i="2"/>
  <c r="P296" i="2"/>
  <c r="P235" i="2"/>
  <c r="P45" i="2"/>
  <c r="P159" i="2"/>
  <c r="P154" i="2"/>
  <c r="P179" i="2"/>
  <c r="P293" i="2"/>
  <c r="P227" i="2"/>
  <c r="P273" i="2"/>
  <c r="P84" i="2"/>
  <c r="P226" i="2"/>
  <c r="P263" i="2"/>
  <c r="P49" i="2"/>
  <c r="P120" i="2"/>
  <c r="P99" i="2"/>
  <c r="P72" i="2"/>
  <c r="P54" i="2"/>
  <c r="P233" i="2"/>
  <c r="P172" i="2"/>
  <c r="P232" i="2"/>
  <c r="P209" i="2"/>
  <c r="P24" i="2"/>
  <c r="P258" i="2"/>
  <c r="Q47" i="2"/>
  <c r="Q104" i="2"/>
  <c r="Q240" i="2"/>
  <c r="Q23" i="2"/>
  <c r="Q285" i="2"/>
  <c r="Q248" i="2"/>
  <c r="Q254" i="2"/>
  <c r="Q241" i="2"/>
  <c r="Q129" i="2"/>
  <c r="Q118" i="2"/>
  <c r="Q73" i="2"/>
  <c r="Q151" i="2"/>
  <c r="Q294" i="2"/>
  <c r="Q200" i="2"/>
  <c r="Q195" i="2"/>
  <c r="Q283" i="2"/>
  <c r="Q110" i="2"/>
  <c r="Q224" i="2"/>
  <c r="Q35" i="2"/>
  <c r="Q63" i="2"/>
  <c r="Q38" i="2"/>
  <c r="Q109" i="2"/>
  <c r="Q9" i="2"/>
  <c r="Q16" i="2"/>
  <c r="Q289" i="2"/>
  <c r="Q88" i="2"/>
  <c r="Q268" i="2"/>
  <c r="Q183" i="2"/>
  <c r="Q17" i="2"/>
  <c r="Q234" i="2"/>
  <c r="Q161" i="2"/>
  <c r="Q278" i="2"/>
  <c r="Q96" i="2"/>
  <c r="Q25" i="2"/>
  <c r="Q117" i="2"/>
  <c r="Q262" i="2"/>
  <c r="Q166" i="2"/>
  <c r="Q10" i="2"/>
  <c r="Q205" i="2"/>
  <c r="Q85" i="2"/>
  <c r="Q8" i="2"/>
  <c r="Q122" i="2"/>
  <c r="Q21" i="2"/>
  <c r="Q193" i="2"/>
  <c r="Q277" i="2"/>
  <c r="Q279" i="2"/>
  <c r="Q128" i="2"/>
  <c r="Q189" i="2"/>
  <c r="Q22" i="2"/>
  <c r="Q125" i="2"/>
  <c r="Q48" i="2"/>
  <c r="Q201" i="2"/>
  <c r="Q134" i="2"/>
  <c r="Q87" i="2"/>
  <c r="Q14" i="2"/>
  <c r="Q245" i="2"/>
  <c r="Q79" i="2"/>
  <c r="Q59" i="2"/>
  <c r="Q98" i="2"/>
  <c r="Q238" i="2"/>
  <c r="Q5" i="2"/>
  <c r="Q142" i="2"/>
  <c r="Q256" i="2"/>
  <c r="Q26" i="2"/>
  <c r="Q228" i="2"/>
  <c r="Q106" i="2"/>
  <c r="Q184" i="2"/>
  <c r="Q286" i="2"/>
  <c r="Q53" i="2"/>
  <c r="Q165" i="2"/>
  <c r="Q27" i="2"/>
  <c r="Q137" i="2"/>
  <c r="Q65" i="2"/>
  <c r="Q36" i="2"/>
  <c r="Q152" i="2"/>
  <c r="Q257" i="2"/>
  <c r="Q68" i="2"/>
  <c r="Q138" i="2"/>
  <c r="Q215" i="2"/>
  <c r="Q55" i="2"/>
  <c r="Q32" i="2"/>
  <c r="Q97" i="2"/>
  <c r="Q167" i="2"/>
  <c r="Q153" i="2"/>
  <c r="Q69" i="2"/>
  <c r="Q250" i="2"/>
  <c r="Q246" i="2"/>
  <c r="Q297" i="2"/>
  <c r="Q206" i="2"/>
  <c r="Q146" i="2"/>
  <c r="Q62" i="2"/>
  <c r="Q202" i="2"/>
  <c r="Q237" i="2"/>
  <c r="Q95" i="2"/>
  <c r="Q288" i="2"/>
  <c r="Q204" i="2"/>
  <c r="Q284" i="2"/>
  <c r="Q242" i="2"/>
  <c r="Q255" i="2"/>
  <c r="Q58" i="2"/>
  <c r="Q3" i="2"/>
  <c r="Q216" i="2"/>
  <c r="Q76" i="2"/>
  <c r="Q212" i="2"/>
  <c r="Q37" i="2"/>
  <c r="Q11" i="2"/>
  <c r="Q229" i="2"/>
  <c r="Q260" i="2"/>
  <c r="Q291" i="2"/>
  <c r="Q52" i="2"/>
  <c r="Q203" i="2"/>
  <c r="Q61" i="2"/>
  <c r="Q139" i="2"/>
  <c r="Q190" i="2"/>
  <c r="Q31" i="2"/>
  <c r="Q130" i="2"/>
  <c r="Q292" i="2"/>
  <c r="Q247" i="2"/>
  <c r="Q77" i="2"/>
  <c r="Q243" i="2"/>
  <c r="Q160" i="2"/>
  <c r="Q208" i="2"/>
  <c r="Q57" i="2"/>
  <c r="Q259" i="2"/>
  <c r="Q124" i="2"/>
  <c r="Q60" i="2"/>
  <c r="Q34" i="2"/>
  <c r="Q102" i="2"/>
  <c r="Q282" i="2"/>
  <c r="Q211" i="2"/>
  <c r="Q82" i="2"/>
  <c r="Q133" i="2"/>
  <c r="Q155" i="2"/>
  <c r="Q89" i="2"/>
  <c r="Q187" i="2"/>
  <c r="Q264" i="2"/>
  <c r="Q46" i="2"/>
  <c r="Q12" i="2"/>
  <c r="Q64" i="2"/>
  <c r="Q74" i="2"/>
  <c r="Q269" i="2"/>
  <c r="Q66" i="2"/>
  <c r="Q43" i="2"/>
  <c r="Q39" i="2"/>
  <c r="Q180" i="2"/>
  <c r="Q171" i="2"/>
  <c r="Q147" i="2"/>
  <c r="Q178" i="2"/>
  <c r="Q107" i="2"/>
  <c r="Q249" i="2"/>
  <c r="Q140" i="2"/>
  <c r="Q132" i="2"/>
  <c r="Q162" i="2"/>
  <c r="Q145" i="2"/>
  <c r="Q119" i="2"/>
  <c r="Q176" i="2"/>
  <c r="Q158" i="2"/>
  <c r="Q197" i="2"/>
  <c r="Q274" i="2"/>
  <c r="Q143" i="2"/>
  <c r="Q123" i="2"/>
  <c r="Q29" i="2"/>
  <c r="Q56" i="2"/>
  <c r="Q115" i="2"/>
  <c r="Q199" i="2"/>
  <c r="Q223" i="2"/>
  <c r="Q276" i="2"/>
  <c r="Q185" i="2"/>
  <c r="Q20" i="2"/>
  <c r="Q86" i="2"/>
  <c r="Q150" i="2"/>
  <c r="Q173" i="2"/>
  <c r="Q280" i="2"/>
  <c r="Q83" i="2"/>
  <c r="Q70" i="2"/>
  <c r="Q42" i="2"/>
  <c r="Q251" i="2"/>
  <c r="Q266" i="2"/>
  <c r="Q78" i="2"/>
  <c r="Q231" i="2"/>
  <c r="Q100" i="2"/>
  <c r="Q272" i="2"/>
  <c r="Q7" i="2"/>
  <c r="Q18" i="2"/>
  <c r="Q75" i="2"/>
  <c r="Q113" i="2"/>
  <c r="Q90" i="2"/>
  <c r="Q71" i="2"/>
  <c r="Q127" i="2"/>
  <c r="Q225" i="2"/>
  <c r="Q101" i="2"/>
  <c r="Q92" i="2"/>
  <c r="Q93" i="2"/>
  <c r="Q230" i="2"/>
  <c r="Q2" i="2"/>
  <c r="Q281" i="2"/>
  <c r="Q28" i="2"/>
  <c r="Q156" i="2"/>
  <c r="Q186" i="2"/>
  <c r="Q80" i="2"/>
  <c r="Q6" i="2"/>
  <c r="Q4" i="2"/>
  <c r="Q168" i="2"/>
  <c r="Q287" i="2"/>
  <c r="Q261" i="2"/>
  <c r="Q210" i="2"/>
  <c r="Q13" i="2"/>
  <c r="Q194" i="2"/>
  <c r="Q220" i="2"/>
  <c r="Q33" i="2"/>
  <c r="Q207" i="2"/>
  <c r="Q175" i="2"/>
  <c r="Q81" i="2"/>
  <c r="Q44" i="2"/>
  <c r="Q214" i="2"/>
  <c r="Q275" i="2"/>
  <c r="Q105" i="2"/>
  <c r="Q218" i="2"/>
  <c r="Q267" i="2"/>
  <c r="Q221" i="2"/>
  <c r="Q239" i="2"/>
  <c r="Q112" i="2"/>
  <c r="Q252" i="2"/>
  <c r="Q217" i="2"/>
  <c r="Q182" i="2"/>
  <c r="Q236" i="2"/>
  <c r="Q164" i="2"/>
  <c r="Q121" i="2"/>
  <c r="Q148" i="2"/>
  <c r="Q30" i="2"/>
  <c r="Q270" i="2"/>
  <c r="Q103" i="2"/>
  <c r="Q174" i="2"/>
  <c r="Q253" i="2"/>
  <c r="Q41" i="2"/>
  <c r="Q244" i="2"/>
  <c r="Q196" i="2"/>
  <c r="Q91" i="2"/>
  <c r="Q290" i="2"/>
  <c r="Q149" i="2"/>
  <c r="Q94" i="2"/>
  <c r="Q191" i="2"/>
  <c r="Q19" i="2"/>
  <c r="Q198" i="2"/>
  <c r="Q144" i="2"/>
  <c r="Q136" i="2"/>
  <c r="Q40" i="2"/>
  <c r="Q271" i="2"/>
  <c r="Q188" i="2"/>
  <c r="Q50" i="2"/>
  <c r="Q265" i="2"/>
  <c r="Q163" i="2"/>
  <c r="Q111" i="2"/>
  <c r="Q213" i="2"/>
  <c r="Q131" i="2"/>
  <c r="Q192" i="2"/>
  <c r="Q51" i="2"/>
  <c r="Q295" i="2"/>
  <c r="Q108" i="2"/>
  <c r="Q116" i="2"/>
  <c r="Q135" i="2"/>
  <c r="Q222" i="2"/>
  <c r="Q15" i="2"/>
  <c r="Q169" i="2"/>
  <c r="Q219" i="2"/>
  <c r="Q114" i="2"/>
  <c r="Q181" i="2"/>
  <c r="Q170" i="2"/>
  <c r="Q177" i="2"/>
  <c r="Q141" i="2"/>
  <c r="Q157" i="2"/>
  <c r="Q126" i="2"/>
  <c r="Q67" i="2"/>
  <c r="Q296" i="2"/>
  <c r="Q235" i="2"/>
  <c r="Q45" i="2"/>
  <c r="Q159" i="2"/>
  <c r="Q154" i="2"/>
  <c r="Q179" i="2"/>
  <c r="Q293" i="2"/>
  <c r="Q227" i="2"/>
  <c r="Q273" i="2"/>
  <c r="Q84" i="2"/>
  <c r="Q226" i="2"/>
  <c r="Q263" i="2"/>
  <c r="Q49" i="2"/>
  <c r="Q120" i="2"/>
  <c r="Q99" i="2"/>
  <c r="Q72" i="2"/>
  <c r="Q54" i="2"/>
  <c r="Q233" i="2"/>
  <c r="Q172" i="2"/>
  <c r="Q232" i="2"/>
  <c r="Q209" i="2"/>
  <c r="Q24" i="2"/>
  <c r="Q258" i="2"/>
  <c r="T6" i="2"/>
  <c r="T5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E0076-C704-44A4-832C-0D0B423C3EA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<sst xmlns="http://schemas.openxmlformats.org/spreadsheetml/2006/main" count="6024" uniqueCount="395">
  <si>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</si>
  <si>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</si>
  <si>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</si>
  <si>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</si>
  <si>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</si>
  <si>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</si>
  <si>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</si>
  <si>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</si>
  <si>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</si>
  <si>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</si>
  <si>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</si>
  <si>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</si>
  <si>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</si>
  <si>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</si>
  <si>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</si>
  <si>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</si>
  <si>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</si>
  <si>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</si>
  <si>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</si>
  <si>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</si>
  <si>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</si>
  <si>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</si>
  <si>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</si>
  <si>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</si>
  <si>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</si>
  <si>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</si>
  <si>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</si>
  <si>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</si>
  <si>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</si>
  <si>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</si>
  <si>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</si>
  <si>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</si>
  <si>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</si>
  <si>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</si>
  <si>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</si>
  <si>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</si>
  <si>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</si>
  <si>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</si>
  <si>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</si>
  <si>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</si>
  <si>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</si>
  <si>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</si>
  <si>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</si>
  <si>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</si>
  <si>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</si>
  <si>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</si>
  <si>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</si>
  <si>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</si>
  <si>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</si>
  <si>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</si>
  <si>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</si>
  <si>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</si>
  <si>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</si>
  <si>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</si>
  <si>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</si>
  <si>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</si>
  <si>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</si>
  <si>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</si>
  <si>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</si>
  <si>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</si>
  <si>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</si>
  <si>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</si>
  <si>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</si>
  <si>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</si>
  <si>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</si>
  <si>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</si>
  <si>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</si>
  <si>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</si>
  <si>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</si>
  <si>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</si>
  <si>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</si>
  <si>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</si>
  <si>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</si>
  <si>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</si>
  <si>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</si>
  <si>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</si>
  <si>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</si>
  <si>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</si>
  <si>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</si>
  <si>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</si>
  <si>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</si>
  <si>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</si>
  <si>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</si>
  <si>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</si>
  <si>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</si>
  <si>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</si>
  <si>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</si>
  <si>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</si>
  <si>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</si>
  <si>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</si>
  <si>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</si>
  <si>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</si>
  <si>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</si>
  <si>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</si>
  <si>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</si>
  <si>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</si>
  <si>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</si>
  <si>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</si>
  <si>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</si>
  <si>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</si>
  <si>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</si>
  <si>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</si>
  <si>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</si>
  <si>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</si>
  <si>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</si>
  <si>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</si>
  <si>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</si>
  <si>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</si>
  <si>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</si>
  <si>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</si>
  <si>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</si>
  <si>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</si>
  <si>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</si>
  <si>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</si>
  <si>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</si>
  <si>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</si>
  <si>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</si>
  <si>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</si>
  <si>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</si>
  <si>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</si>
  <si>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</si>
  <si>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</si>
  <si>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</si>
  <si>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</si>
  <si>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</si>
  <si>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</si>
  <si>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</si>
  <si>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</si>
  <si>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</si>
  <si>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</si>
  <si>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</si>
  <si>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</si>
  <si>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</si>
  <si>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</si>
  <si>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</si>
  <si>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</si>
  <si>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</si>
  <si>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</si>
  <si>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</si>
  <si>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</si>
  <si>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</si>
  <si>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</si>
  <si>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</si>
  <si>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</si>
  <si>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</si>
  <si>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</si>
  <si>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</si>
  <si>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</si>
  <si>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</si>
  <si>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</si>
  <si>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</si>
  <si>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</si>
  <si>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</si>
  <si>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</si>
  <si>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</si>
  <si>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</si>
  <si>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</si>
  <si>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</si>
  <si>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</si>
  <si>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</si>
  <si>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</si>
  <si>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</si>
  <si>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</si>
  <si>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</si>
  <si>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</si>
  <si>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</si>
  <si>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</si>
  <si>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</si>
  <si>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</si>
  <si>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</si>
  <si>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</si>
  <si>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</si>
  <si>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</si>
  <si>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</si>
  <si>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</si>
  <si>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</si>
  <si>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</si>
  <si>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</si>
  <si>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</si>
  <si>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</si>
  <si>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</si>
  <si>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</si>
  <si>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</si>
  <si>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</si>
  <si>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</si>
  <si>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</si>
  <si>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</si>
  <si>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</si>
  <si>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</si>
  <si>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</si>
  <si>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</si>
  <si>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</si>
  <si>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</si>
  <si>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</si>
  <si>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</si>
  <si>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</si>
  <si>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</si>
  <si>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</si>
  <si>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</si>
  <si>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</si>
  <si>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</si>
  <si>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</si>
  <si>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</si>
  <si>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</si>
  <si>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</si>
  <si>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</si>
  <si>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</si>
  <si>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</si>
  <si>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</si>
  <si>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</si>
  <si>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</si>
  <si>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</si>
  <si>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</si>
  <si>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</si>
  <si>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</si>
  <si>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</si>
  <si>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</si>
  <si>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</si>
  <si>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</si>
  <si>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</si>
  <si>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</si>
  <si>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</si>
  <si>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</si>
  <si>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</si>
  <si>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</si>
  <si>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</si>
  <si>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</si>
  <si>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</si>
  <si>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</si>
  <si>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</si>
  <si>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</si>
  <si>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</si>
  <si>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</si>
  <si>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</si>
  <si>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</si>
  <si>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</si>
  <si>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</si>
  <si>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</si>
  <si>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</si>
  <si>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</si>
  <si>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</si>
  <si>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</si>
  <si>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</si>
  <si>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</si>
  <si>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</si>
  <si>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</si>
  <si>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</si>
  <si>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</si>
  <si>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</si>
  <si>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</si>
  <si>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</si>
  <si>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</si>
  <si>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</si>
  <si>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</si>
  <si>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</si>
  <si>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</si>
  <si>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</si>
  <si>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</si>
  <si>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</si>
  <si>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</si>
  <si>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</si>
  <si>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</si>
  <si>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</si>
  <si>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</si>
  <si>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</si>
  <si>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</si>
  <si>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</si>
  <si>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</si>
  <si>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</si>
  <si>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</si>
  <si>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</si>
  <si>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</si>
  <si>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</si>
  <si>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</si>
  <si>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</si>
  <si>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</si>
  <si>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</si>
  <si>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</si>
  <si>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</si>
  <si>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</si>
  <si>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</si>
  <si>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</si>
  <si>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</si>
  <si>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</si>
  <si>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</si>
  <si>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</si>
  <si>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</si>
  <si>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</si>
  <si>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</si>
  <si>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</si>
  <si>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</si>
  <si>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</si>
  <si>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</si>
  <si>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</si>
  <si>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</si>
  <si>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</si>
  <si>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</si>
  <si>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</si>
  <si>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</si>
  <si>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</si>
  <si>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</si>
  <si>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</si>
  <si>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</si>
  <si>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</si>
  <si>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</si>
  <si>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</si>
  <si>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</si>
  <si>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</si>
  <si>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</si>
  <si>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</si>
  <si>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</si>
  <si>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</si>
  <si>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</si>
  <si>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</si>
  <si>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</si>
  <si>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</si>
  <si>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</si>
  <si>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</si>
  <si>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</si>
  <si>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</si>
  <si>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</si>
  <si>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</si>
  <si>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</si>
  <si>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</si>
  <si>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</si>
  <si>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</si>
  <si>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</si>
  <si>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</si>
  <si>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</si>
  <si>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</si>
  <si>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</si>
  <si>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</si>
  <si>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</si>
  <si>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</si>
  <si>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</si>
  <si>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</si>
  <si>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</si>
  <si>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</si>
  <si>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</si>
  <si>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</si>
  <si>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</si>
  <si>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</si>
  <si>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</si>
  <si>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</si>
  <si>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</si>
  <si>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</si>
  <si>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</si>
  <si>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</si>
  <si>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</si>
  <si>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</si>
  <si>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</si>
  <si>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</si>
  <si>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Dr. Ravi</t>
  </si>
  <si>
    <t>Kochi</t>
  </si>
  <si>
    <t>Not Insured</t>
  </si>
  <si>
    <t>Rahul Das</t>
  </si>
  <si>
    <t>Dr. Jose</t>
  </si>
  <si>
    <t>Calicut</t>
  </si>
  <si>
    <t>Insured</t>
  </si>
  <si>
    <t>Meera  K</t>
  </si>
  <si>
    <t>Dr. Anu</t>
  </si>
  <si>
    <t>John Doe</t>
  </si>
  <si>
    <t>Trivandrum</t>
  </si>
  <si>
    <t>Anita  Joseph</t>
  </si>
  <si>
    <t>Priya Nair</t>
  </si>
  <si>
    <t>Q4</t>
  </si>
  <si>
    <t>Q5</t>
  </si>
  <si>
    <t>Q6</t>
  </si>
  <si>
    <t>Q</t>
  </si>
  <si>
    <t>A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</si>
  <si>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</si>
  <si>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</si>
  <si>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</si>
  <si>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</si>
  <si>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</si>
  <si>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</si>
  <si>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</si>
  <si>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</si>
  <si>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</si>
  <si>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Cardiology</t>
  </si>
  <si>
    <t>General Medicine</t>
  </si>
  <si>
    <t>DONE</t>
  </si>
  <si>
    <t>Total Treatment  Cost</t>
  </si>
  <si>
    <t>Percentage Increase</t>
  </si>
  <si>
    <t>Increase</t>
  </si>
  <si>
    <t>$B$2</t>
  </si>
  <si>
    <t>$C$2</t>
  </si>
  <si>
    <t>Created by nano on 27/07/2026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</si>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</sst>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A8704B-6CF3-4DA2-8693-02ADFFE1B28B}" autoFormatId="16" applyNumberFormats="0" applyBorderFormats="0" applyFontFormats="0" applyPatternFormats="0" applyAlignmentFormats="0" applyWidthHeightFormats="0">
  <queryTableRefresh nextId="19" unboundColumnsRight="3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3" name="Insurance Status" tableColumnId="13"/>
      <queryTableField id="14" name="Room Type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60D48-A1DC-4A69-B9F6-6A11E0645B68}" name="Table1_1" displayName="Table1_1" ref="A1:Q297" tableType="queryTable" totalsRowShown="0">
  <autoFilter ref="A1:Q297" xr:uid="{0F560D48-A1DC-4A69-B9F6-6A11E0645B68}"/>
  <sortState xmlns:xlrd2="http://schemas.microsoft.com/office/spreadsheetml/2017/richdata2" ref="A2:Q297">
    <sortCondition ref="F1:F297"/>
  </sortState>
  <tableColumns count="17">
    <tableColumn id="1" xr3:uid="{2F056855-3C8E-4AB2-8A42-C8FCEE001FEA}" uniqueName="1" name="Patient ID" queryTableFieldId="1" dataDxfId="23"/>
    <tableColumn id="2" xr3:uid="{6ABF4EE6-10AD-4C97-B39A-10DB47005A01}" uniqueName="2" name="Patient Name" queryTableFieldId="2" dataDxfId="22"/>
    <tableColumn id="3" xr3:uid="{D804A01F-BBFD-4A53-963D-124CEE57E613}" uniqueName="3" name="Gender" queryTableFieldId="3" dataDxfId="21"/>
    <tableColumn id="4" xr3:uid="{3CF5C65E-8F23-49A0-B42B-B343D3692099}" uniqueName="4" name="Age" queryTableFieldId="4"/>
    <tableColumn id="5" xr3:uid="{635EA166-6403-4181-A49F-C2B1B05719EB}" uniqueName="5" name="Blood Group" queryTableFieldId="5" dataDxfId="20"/>
    <tableColumn id="6" xr3:uid="{4A35A05E-31D0-4C14-8E07-CFD528AE9A7A}" uniqueName="6" name="Department" queryTableFieldId="6" dataDxfId="19"/>
    <tableColumn id="7" xr3:uid="{9FBCD39A-A9C5-43F4-B961-425CCF3E566C}" uniqueName="7" name="Doctor Name" queryTableFieldId="7" dataDxfId="18"/>
    <tableColumn id="8" xr3:uid="{CFF2DBD3-358E-435B-9594-97CBE127A2D2}" uniqueName="8" name="Admission Date" queryTableFieldId="8" dataDxfId="17"/>
    <tableColumn id="9" xr3:uid="{161E10D6-A7CF-42A3-88AB-A7E59B514B57}" uniqueName="9" name="Discharge Date" queryTableFieldId="9" dataDxfId="16"/>
    <tableColumn id="10" xr3:uid="{6D6BC251-A714-4745-8FE5-3BB6F05AD899}" uniqueName="10" name="City" queryTableFieldId="10" dataDxfId="15"/>
    <tableColumn id="11" xr3:uid="{7E8DFE61-35BC-4F24-B0D5-A8E1B09D117A}" uniqueName="11" name="Diagnosis" queryTableFieldId="11" dataDxfId="14"/>
    <tableColumn id="12" xr3:uid="{199A9C1B-AC21-4506-9B6C-EF3771D72CED}" uniqueName="12" name="Treatment Cost" queryTableFieldId="12"/>
    <tableColumn id="13" xr3:uid="{D6589E6B-9C17-490F-AF04-202FA60E6AEE}" uniqueName="13" name="Insurance Status" queryTableFieldId="13" dataDxfId="13"/>
    <tableColumn id="14" xr3:uid="{1F2C42E1-A764-40D8-944C-42E9344997C3}" uniqueName="14" name="Room Type" queryTableFieldId="14" dataDxfId="12"/>
    <tableColumn id="15" xr3:uid="{9F9227D4-ED22-4070-B8D4-F1DCB5A06645}" uniqueName="15" name="Q11" queryTableFieldId="15" dataDxfId="11">
      <calculatedColumnFormula>IF(AND(Table1_1[[#This Row],[Age]]&gt;=60,Table1_1[[#This Row],[Insurance Status]]="Insured"),"senior Eligible","Not Eligible")</calculatedColumnFormula>
    </tableColumn>
    <tableColumn id="16" xr3:uid="{00EDF63C-E3AD-485A-882E-EFBD916AAB99}" uniqueName="16" name="Q12" queryTableFieldId="16" dataDxfId="10">
      <calculatedColumnFormula>IF(OR(Table1_1[[#This Row],[Treatment Cost]]&gt;=20000,Table1_1[[#This Row],[Room Type]]="ICU"),"High Cost","Normal Cost")</calculatedColumnFormula>
    </tableColumn>
    <tableColumn id="17" xr3:uid="{E012EC69-EE2B-4A56-8B3B-E9D5F597598E}" uniqueName="17" name="Q13" queryTableFieldId="17" dataDxfId="9">
      <calculatedColumnFormula>IF(Table1_1[[#This Row],[Age]]&lt;=18,"Child",IF(Table1_1[[#This Row],[Age]]&lt;=59,"Adult",IF(Table1_1[[#This Row],[Age]]&gt;=60,"Senior")))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1D4DF1-65DF-4BDB-A75E-604AD46DBE84}" name="Table4" displayName="Table4" ref="S3:T15" totalsRowShown="0">
  <autoFilter ref="S3:T15" xr:uid="{AF1D4DF1-65DF-4BDB-A75E-604AD46DBE84}"/>
  <tableColumns count="2">
    <tableColumn id="1" xr3:uid="{21620126-DCAC-4C48-A08D-F084C51878DF}" name="Q"/>
    <tableColumn id="2" xr3:uid="{443AD10F-2853-48CE-823B-613BAE4D738E}" name="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EC736-A977-4C13-ABBE-876EA39E5ECD}" name="Table3" displayName="Table3" ref="A1:C4" totalsRowShown="0">
  <autoFilter ref="A1:C4" xr:uid="{C15EC736-A977-4C13-ABBE-876EA39E5ECD}"/>
  <tableColumns count="3">
    <tableColumn id="1" xr3:uid="{E055056A-9654-4018-9723-6E14A535A891}" name="Total Treatment  Cost"/>
    <tableColumn id="4" xr3:uid="{682C967D-EFF5-4FE1-B0A3-D6D0CAEFC097}" name="Percentage Increase"/>
    <tableColumn id="7" xr3:uid="{08B564D0-EA57-4D06-A502-B0388994E8B2}" name="Increas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D70FF-DB41-471B-98D0-79C2074D16E5}" name="Table1" displayName="Table1" ref="A1:N301" totalsRowShown="0">
  <autoFilter ref="A1:N301" xr:uid="{446D70FF-DB41-471B-98D0-79C2074D16E5}"/>
  <tableColumns count="14">
    <tableColumn id="1" xr3:uid="{DCD6BA55-2671-429D-8D4B-4D510DF550F5}" name="Patient ID"/>
    <tableColumn id="2" xr3:uid="{EEAAF498-5653-4AC0-AD52-A93CBB7A6ABF}" name="Patient Name"/>
    <tableColumn id="3" xr3:uid="{CCE9C1EB-4DEB-435A-9326-98903CA98182}" name="Gender"/>
    <tableColumn id="4" xr3:uid="{1F014088-91C1-440B-9D63-A48337B6E66F}" name="Age"/>
    <tableColumn id="5" xr3:uid="{AF7E4456-A3D6-4452-B73E-8EB60B06CC55}" name="Blood Group"/>
    <tableColumn id="6" xr3:uid="{B8EB48F6-04C6-4800-AA85-6D0BC276AC61}" name="Department"/>
    <tableColumn id="7" xr3:uid="{34CEA733-6C6F-47EE-925F-3DFE04326B80}" name="Doctor Name"/>
    <tableColumn id="8" xr3:uid="{1052406F-3949-401B-BBEE-46245F26DA81}" name="Admission Date" dataDxfId="8"/>
    <tableColumn id="9" xr3:uid="{F61ACE5B-0B9B-42C4-9DF8-C1300F9E64EC}" name="Discharge Date" dataDxfId="7"/>
    <tableColumn id="10" xr3:uid="{5DA74EC7-C84C-424B-84A4-29818BAA9682}" name="City"/>
    <tableColumn id="11" xr3:uid="{E7CD0530-1EF3-46C3-B9A1-FB4CEFD58D49}" name="Diagnosis"/>
    <tableColumn id="12" xr3:uid="{CDA127CD-09DD-4459-9EB7-8084DA2F5A1C}" name="Treatment Cost"/>
    <tableColumn id="13" xr3:uid="{FE04118E-A02F-4AB5-A14C-0A4EE1150DCF}" name="Insurance Status"/>
    <tableColumn id="14" xr3:uid="{F75718E1-4FC3-43F7-8055-24B3422A5304}" name="Room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BBD7-4BBF-4092-A617-A18BB2BA9642}">
  <dimension ref="A1:T297"/>
  <sheetViews>
    <sheetView tabSelected="1" topLeftCell="E1" zoomScale="80" zoomScaleNormal="80" workbookViewId="0">
      <selection activeCell="L2" sqref="L2:L297"/>
    </sheetView>
  </sheetViews>
  <sheetFormatPr defaultRowHeight="15" x14ac:dyDescent="0.25"/>
  <cols>
    <col min="1" max="1" width="16" bestFit="1" customWidth="1"/>
    <col min="2" max="2" width="20.28515625" bestFit="1" customWidth="1"/>
    <col min="3" max="3" width="13.42578125" bestFit="1" customWidth="1"/>
    <col min="4" max="4" width="9.5703125" bestFit="1" customWidth="1"/>
    <col min="5" max="5" width="15" customWidth="1"/>
    <col min="6" max="6" width="18.140625" bestFit="1" customWidth="1"/>
    <col min="7" max="7" width="15.28515625" customWidth="1"/>
    <col min="8" max="8" width="17" customWidth="1"/>
    <col min="9" max="9" width="16.140625" customWidth="1"/>
    <col min="10" max="10" width="11.7109375" bestFit="1" customWidth="1"/>
    <col min="11" max="11" width="13.28515625" customWidth="1"/>
    <col min="12" max="12" width="24.42578125" bestFit="1" customWidth="1"/>
    <col min="13" max="13" width="17.42578125" bestFit="1" customWidth="1"/>
    <col min="14" max="14" width="14" bestFit="1" customWidth="1"/>
    <col min="15" max="15" width="12.5703125" bestFit="1" customWidth="1"/>
    <col min="16" max="16" width="9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374</v>
      </c>
      <c r="P1" t="s">
        <v>375</v>
      </c>
      <c r="Q1" t="s">
        <v>376</v>
      </c>
    </row>
    <row r="2" spans="1:20" x14ac:dyDescent="0.25">
      <c r="A2" t="s">
        <v>249</v>
      </c>
      <c r="B2" t="s">
        <v>361</v>
      </c>
      <c r="C2" t="s">
        <v>41</v>
      </c>
      <c r="D2">
        <v>23</v>
      </c>
      <c r="E2" t="s">
        <v>47</v>
      </c>
      <c r="F2" t="s">
        <v>379</v>
      </c>
      <c r="G2" t="s">
        <v>360</v>
      </c>
      <c r="H2" s="2">
        <v>46181</v>
      </c>
      <c r="I2" s="2">
        <v>46182</v>
      </c>
      <c r="J2" t="s">
        <v>357</v>
      </c>
      <c r="K2" t="s">
        <v>48</v>
      </c>
      <c r="L2">
        <v>49321</v>
      </c>
      <c r="M2" t="s">
        <v>354</v>
      </c>
      <c r="N2" t="s">
        <v>23</v>
      </c>
      <c r="O2" t="str">
        <f>IF(AND(Table1_1[[#This Row],[Age]]&gt;=60,Table1_1[[#This Row],[Insurance Status]]="Insured"),"senior Eligible","Not Eligible")</f>
        <v>Not Eligible</v>
      </c>
      <c r="P2" t="str">
        <f>IF(OR(Table1_1[[#This Row],[Treatment Cost]]&gt;=20000,Table1_1[[#This Row],[Room Type]]="ICU"),"High Cost","Normal Cost")</f>
        <v>High Cost</v>
      </c>
      <c r="Q2" t="str">
        <f>IF(Table1_1[[#This Row],[Age]]&lt;=18,"Child",IF(Table1_1[[#This Row],[Age]]&lt;=59,"Adult",IF(Table1_1[[#This Row],[Age]]&gt;=60,"Senior")))</f>
        <v>Adult</v>
      </c>
    </row>
    <row r="3" spans="1:20" x14ac:dyDescent="0.25">
      <c r="A3" t="s">
        <v>155</v>
      </c>
      <c r="B3" t="s">
        <v>351</v>
      </c>
      <c r="C3" t="s">
        <v>41</v>
      </c>
      <c r="D3">
        <v>50</v>
      </c>
      <c r="E3" t="s">
        <v>27</v>
      </c>
      <c r="F3" t="s">
        <v>379</v>
      </c>
      <c r="G3" t="s">
        <v>360</v>
      </c>
      <c r="H3" s="2">
        <v>46114</v>
      </c>
      <c r="I3" s="2">
        <v>46121</v>
      </c>
      <c r="J3" t="s">
        <v>357</v>
      </c>
      <c r="K3" t="s">
        <v>37</v>
      </c>
      <c r="L3">
        <v>48952</v>
      </c>
      <c r="M3" t="s">
        <v>358</v>
      </c>
      <c r="N3" t="s">
        <v>23</v>
      </c>
      <c r="O3" t="str">
        <f>IF(AND(Table1_1[[#This Row],[Age]]&gt;=60,Table1_1[[#This Row],[Insurance Status]]="Insured"),"senior Eligible","Not Eligible")</f>
        <v>Not Eligible</v>
      </c>
      <c r="P3" t="str">
        <f>IF(OR(Table1_1[[#This Row],[Treatment Cost]]&gt;=20000,Table1_1[[#This Row],[Room Type]]="ICU"),"High Cost","Normal Cost")</f>
        <v>High Cost</v>
      </c>
      <c r="Q3" t="str">
        <f>IF(Table1_1[[#This Row],[Age]]&lt;=18,"Child",IF(Table1_1[[#This Row],[Age]]&lt;=59,"Adult",IF(Table1_1[[#This Row],[Age]]&gt;=60,"Senior")))</f>
        <v>Adult</v>
      </c>
      <c r="S3" t="s">
        <v>368</v>
      </c>
      <c r="T3" t="s">
        <v>369</v>
      </c>
    </row>
    <row r="4" spans="1:20" x14ac:dyDescent="0.25">
      <c r="A4" t="s">
        <v>256</v>
      </c>
      <c r="B4" t="s">
        <v>355</v>
      </c>
      <c r="C4" t="s">
        <v>56</v>
      </c>
      <c r="D4">
        <v>42</v>
      </c>
      <c r="E4" t="s">
        <v>27</v>
      </c>
      <c r="F4" t="s">
        <v>379</v>
      </c>
      <c r="G4" t="s">
        <v>352</v>
      </c>
      <c r="H4" s="2">
        <v>46155</v>
      </c>
      <c r="I4" s="2">
        <v>46158</v>
      </c>
      <c r="J4" t="s">
        <v>357</v>
      </c>
      <c r="K4" t="s">
        <v>48</v>
      </c>
      <c r="L4">
        <v>48299</v>
      </c>
      <c r="M4" t="s">
        <v>354</v>
      </c>
      <c r="N4" t="s">
        <v>44</v>
      </c>
      <c r="O4" t="str">
        <f>IF(AND(Table1_1[[#This Row],[Age]]&gt;=60,Table1_1[[#This Row],[Insurance Status]]="Insured"),"senior Eligible","Not Eligible")</f>
        <v>Not Eligible</v>
      </c>
      <c r="P4" t="str">
        <f>IF(OR(Table1_1[[#This Row],[Treatment Cost]]&gt;=20000,Table1_1[[#This Row],[Room Type]]="ICU"),"High Cost","Normal Cost")</f>
        <v>High Cost</v>
      </c>
      <c r="Q4" t="str">
        <f>IF(Table1_1[[#This Row],[Age]]&lt;=18,"Child",IF(Table1_1[[#This Row],[Age]]&lt;=59,"Adult",IF(Table1_1[[#This Row],[Age]]&gt;=60,"Senior")))</f>
        <v>Adult</v>
      </c>
      <c r="S4" t="s">
        <v>365</v>
      </c>
      <c r="T4">
        <f>SUM(Table1_1[Treatment Cost])</f>
        <v>7445998</v>
      </c>
    </row>
    <row r="5" spans="1:20" x14ac:dyDescent="0.25">
      <c r="A5" t="s">
        <v>115</v>
      </c>
      <c r="B5" t="s">
        <v>351</v>
      </c>
      <c r="C5" t="s">
        <v>41</v>
      </c>
      <c r="D5">
        <v>40</v>
      </c>
      <c r="E5" t="s">
        <v>27</v>
      </c>
      <c r="F5" t="s">
        <v>379</v>
      </c>
      <c r="G5" t="s">
        <v>352</v>
      </c>
      <c r="H5" s="2">
        <v>46168</v>
      </c>
      <c r="I5" s="2">
        <v>46172</v>
      </c>
      <c r="J5" t="s">
        <v>362</v>
      </c>
      <c r="K5" t="s">
        <v>31</v>
      </c>
      <c r="L5">
        <v>47511</v>
      </c>
      <c r="M5" t="s">
        <v>354</v>
      </c>
      <c r="N5" t="s">
        <v>39</v>
      </c>
      <c r="O5" t="str">
        <f>IF(AND(Table1_1[[#This Row],[Age]]&gt;=60,Table1_1[[#This Row],[Insurance Status]]="Insured"),"senior Eligible","Not Eligible")</f>
        <v>Not Eligible</v>
      </c>
      <c r="P5" t="str">
        <f>IF(OR(Table1_1[[#This Row],[Treatment Cost]]&gt;=20000,Table1_1[[#This Row],[Room Type]]="ICU"),"High Cost","Normal Cost")</f>
        <v>High Cost</v>
      </c>
      <c r="Q5" t="str">
        <f>IF(Table1_1[[#This Row],[Age]]&lt;=18,"Child",IF(Table1_1[[#This Row],[Age]]&lt;=59,"Adult",IF(Table1_1[[#This Row],[Age]]&gt;=60,"Senior")))</f>
        <v>Adult</v>
      </c>
      <c r="S5" t="s">
        <v>366</v>
      </c>
      <c r="T5">
        <f>MAX(Table1_1[Treatment Cost])</f>
        <v>49958</v>
      </c>
    </row>
    <row r="6" spans="1:20" x14ac:dyDescent="0.25">
      <c r="A6" t="s">
        <v>255</v>
      </c>
      <c r="B6" t="s">
        <v>359</v>
      </c>
      <c r="C6" t="s">
        <v>56</v>
      </c>
      <c r="D6">
        <v>23</v>
      </c>
      <c r="E6" t="s">
        <v>27</v>
      </c>
      <c r="F6" t="s">
        <v>379</v>
      </c>
      <c r="G6" t="s">
        <v>360</v>
      </c>
      <c r="H6" s="2">
        <v>46100</v>
      </c>
      <c r="I6" s="2">
        <v>46105</v>
      </c>
      <c r="J6" t="s">
        <v>357</v>
      </c>
      <c r="K6" t="s">
        <v>37</v>
      </c>
      <c r="L6">
        <v>45967</v>
      </c>
      <c r="M6" t="s">
        <v>354</v>
      </c>
      <c r="N6" t="s">
        <v>39</v>
      </c>
      <c r="O6" t="str">
        <f>IF(AND(Table1_1[[#This Row],[Age]]&gt;=60,Table1_1[[#This Row],[Insurance Status]]="Insured"),"senior Eligible","Not Eligible")</f>
        <v>Not Eligible</v>
      </c>
      <c r="P6" t="str">
        <f>IF(OR(Table1_1[[#This Row],[Treatment Cost]]&gt;=20000,Table1_1[[#This Row],[Room Type]]="ICU"),"High Cost","Normal Cost")</f>
        <v>High Cost</v>
      </c>
      <c r="Q6" t="str">
        <f>IF(Table1_1[[#This Row],[Age]]&lt;=18,"Child",IF(Table1_1[[#This Row],[Age]]&lt;=59,"Adult",IF(Table1_1[[#This Row],[Age]]&gt;=60,"Senior")))</f>
        <v>Adult</v>
      </c>
      <c r="S6" t="s">
        <v>367</v>
      </c>
      <c r="T6">
        <f>MIN(Table1_1[Treatment Cost])</f>
        <v>2269</v>
      </c>
    </row>
    <row r="7" spans="1:20" x14ac:dyDescent="0.25">
      <c r="A7" t="s">
        <v>237</v>
      </c>
      <c r="B7" t="s">
        <v>351</v>
      </c>
      <c r="C7" t="s">
        <v>41</v>
      </c>
      <c r="D7">
        <v>44</v>
      </c>
      <c r="E7" t="s">
        <v>17</v>
      </c>
      <c r="F7" t="s">
        <v>379</v>
      </c>
      <c r="G7" t="s">
        <v>360</v>
      </c>
      <c r="H7" s="2">
        <v>46141</v>
      </c>
      <c r="I7" s="2">
        <v>46151</v>
      </c>
      <c r="J7" t="s">
        <v>357</v>
      </c>
      <c r="K7" t="s">
        <v>48</v>
      </c>
      <c r="L7">
        <v>45965</v>
      </c>
      <c r="M7" t="s">
        <v>358</v>
      </c>
      <c r="N7" t="s">
        <v>44</v>
      </c>
      <c r="O7" t="str">
        <f>IF(AND(Table1_1[[#This Row],[Age]]&gt;=60,Table1_1[[#This Row],[Insurance Status]]="Insured"),"senior Eligible","Not Eligible")</f>
        <v>Not Eligible</v>
      </c>
      <c r="P7" t="str">
        <f>IF(OR(Table1_1[[#This Row],[Treatment Cost]]&gt;=20000,Table1_1[[#This Row],[Room Type]]="ICU"),"High Cost","Normal Cost")</f>
        <v>High Cost</v>
      </c>
      <c r="Q7" t="str">
        <f>IF(Table1_1[[#This Row],[Age]]&lt;=18,"Child",IF(Table1_1[[#This Row],[Age]]&lt;=59,"Adult",IF(Table1_1[[#This Row],[Age]]&gt;=60,"Senior")))</f>
        <v>Adult</v>
      </c>
      <c r="S7" t="s">
        <v>370</v>
      </c>
      <c r="T7">
        <f>COUNTA(Table1_1[Patient ID])</f>
        <v>296</v>
      </c>
    </row>
    <row r="8" spans="1:20" x14ac:dyDescent="0.25">
      <c r="A8" t="s">
        <v>95</v>
      </c>
      <c r="B8" t="s">
        <v>351</v>
      </c>
      <c r="C8" t="s">
        <v>56</v>
      </c>
      <c r="D8">
        <v>62</v>
      </c>
      <c r="E8" t="s">
        <v>17</v>
      </c>
      <c r="F8" t="s">
        <v>379</v>
      </c>
      <c r="G8" t="s">
        <v>356</v>
      </c>
      <c r="H8" s="2">
        <v>46154</v>
      </c>
      <c r="I8" s="2">
        <v>46164</v>
      </c>
      <c r="J8" t="s">
        <v>353</v>
      </c>
      <c r="K8" t="s">
        <v>48</v>
      </c>
      <c r="L8">
        <v>45288</v>
      </c>
      <c r="M8" t="s">
        <v>354</v>
      </c>
      <c r="N8" t="s">
        <v>44</v>
      </c>
      <c r="O8" t="str">
        <f>IF(AND(Table1_1[[#This Row],[Age]]&gt;=60,Table1_1[[#This Row],[Insurance Status]]="Insured"),"senior Eligible","Not Eligible")</f>
        <v>Not Eligible</v>
      </c>
      <c r="P8" t="str">
        <f>IF(OR(Table1_1[[#This Row],[Treatment Cost]]&gt;=20000,Table1_1[[#This Row],[Room Type]]="ICU"),"High Cost","Normal Cost")</f>
        <v>High Cost</v>
      </c>
      <c r="Q8" t="str">
        <f>IF(Table1_1[[#This Row],[Age]]&lt;=18,"Child",IF(Table1_1[[#This Row],[Age]]&lt;=59,"Adult",IF(Table1_1[[#This Row],[Age]]&gt;=60,"Senior")))</f>
        <v>Senior</v>
      </c>
      <c r="S8" t="s">
        <v>371</v>
      </c>
      <c r="T8">
        <f>AVERAGEIF(Table1_1[Department],F2,Table1_1[Treatment Cost])</f>
        <v>26600.492537313432</v>
      </c>
    </row>
    <row r="9" spans="1:20" x14ac:dyDescent="0.25">
      <c r="A9" t="s">
        <v>77</v>
      </c>
      <c r="B9" t="s">
        <v>359</v>
      </c>
      <c r="C9" t="s">
        <v>41</v>
      </c>
      <c r="D9">
        <v>80</v>
      </c>
      <c r="E9" t="s">
        <v>47</v>
      </c>
      <c r="F9" t="s">
        <v>379</v>
      </c>
      <c r="G9" t="s">
        <v>360</v>
      </c>
      <c r="H9" s="2">
        <v>46202</v>
      </c>
      <c r="I9" s="2">
        <v>46211</v>
      </c>
      <c r="J9" t="s">
        <v>353</v>
      </c>
      <c r="K9" t="s">
        <v>48</v>
      </c>
      <c r="L9">
        <v>44721</v>
      </c>
      <c r="M9" t="s">
        <v>358</v>
      </c>
      <c r="N9" t="s">
        <v>44</v>
      </c>
      <c r="O9" t="str">
        <f>IF(AND(Table1_1[[#This Row],[Age]]&gt;=60,Table1_1[[#This Row],[Insurance Status]]="Insured"),"senior Eligible","Not Eligible")</f>
        <v>senior Eligible</v>
      </c>
      <c r="P9" t="str">
        <f>IF(OR(Table1_1[[#This Row],[Treatment Cost]]&gt;=20000,Table1_1[[#This Row],[Room Type]]="ICU"),"High Cost","Normal Cost")</f>
        <v>High Cost</v>
      </c>
      <c r="Q9" t="str">
        <f>IF(Table1_1[[#This Row],[Age]]&lt;=18,"Child",IF(Table1_1[[#This Row],[Age]]&lt;=59,"Adult",IF(Table1_1[[#This Row],[Age]]&gt;=60,"Senior")))</f>
        <v>Senior</v>
      </c>
      <c r="S9" t="s">
        <v>372</v>
      </c>
      <c r="T9">
        <f>SUMIF(Table1_1[Diagnosis],K5,Table1_1[Treatment Cost])</f>
        <v>1912573</v>
      </c>
    </row>
    <row r="10" spans="1:20" x14ac:dyDescent="0.25">
      <c r="A10" t="s">
        <v>92</v>
      </c>
      <c r="B10" t="s">
        <v>363</v>
      </c>
      <c r="C10" t="s">
        <v>56</v>
      </c>
      <c r="D10">
        <v>30</v>
      </c>
      <c r="E10" t="s">
        <v>27</v>
      </c>
      <c r="F10" t="s">
        <v>379</v>
      </c>
      <c r="G10" t="s">
        <v>54</v>
      </c>
      <c r="H10" s="2">
        <v>46078</v>
      </c>
      <c r="I10" s="2">
        <v>46087</v>
      </c>
      <c r="J10" t="s">
        <v>353</v>
      </c>
      <c r="K10" t="s">
        <v>21</v>
      </c>
      <c r="L10">
        <v>44699</v>
      </c>
      <c r="M10" t="s">
        <v>354</v>
      </c>
      <c r="N10" t="s">
        <v>44</v>
      </c>
      <c r="O10" t="str">
        <f>IF(AND(Table1_1[[#This Row],[Age]]&gt;=60,Table1_1[[#This Row],[Insurance Status]]="Insured"),"senior Eligible","Not Eligible")</f>
        <v>Not Eligible</v>
      </c>
      <c r="P10" t="str">
        <f>IF(OR(Table1_1[[#This Row],[Treatment Cost]]&gt;=20000,Table1_1[[#This Row],[Room Type]]="ICU"),"High Cost","Normal Cost")</f>
        <v>High Cost</v>
      </c>
      <c r="Q10" t="str">
        <f>IF(Table1_1[[#This Row],[Age]]&lt;=18,"Child",IF(Table1_1[[#This Row],[Age]]&lt;=59,"Adult",IF(Table1_1[[#This Row],[Age]]&gt;=60,"Senior")))</f>
        <v>Adult</v>
      </c>
      <c r="S10" t="s">
        <v>373</v>
      </c>
      <c r="T10">
        <f>COUNTIF(Table1_1[Department],F205)</f>
        <v>93</v>
      </c>
    </row>
    <row r="11" spans="1:20" x14ac:dyDescent="0.25">
      <c r="A11" t="s">
        <v>160</v>
      </c>
      <c r="B11" t="s">
        <v>364</v>
      </c>
      <c r="C11" t="s">
        <v>41</v>
      </c>
      <c r="D11">
        <v>47</v>
      </c>
      <c r="E11" t="s">
        <v>35</v>
      </c>
      <c r="F11" t="s">
        <v>379</v>
      </c>
      <c r="G11" t="s">
        <v>356</v>
      </c>
      <c r="H11" s="2">
        <v>46120</v>
      </c>
      <c r="I11" s="2">
        <v>46129</v>
      </c>
      <c r="J11" t="s">
        <v>353</v>
      </c>
      <c r="K11" t="s">
        <v>21</v>
      </c>
      <c r="L11">
        <v>41156</v>
      </c>
      <c r="M11" t="s">
        <v>354</v>
      </c>
      <c r="N11" t="s">
        <v>44</v>
      </c>
      <c r="O11" t="str">
        <f>IF(AND(Table1_1[[#This Row],[Age]]&gt;=60,Table1_1[[#This Row],[Insurance Status]]="Insured"),"senior Eligible","Not Eligible")</f>
        <v>Not Eligible</v>
      </c>
      <c r="P11" t="str">
        <f>IF(OR(Table1_1[[#This Row],[Treatment Cost]]&gt;=20000,Table1_1[[#This Row],[Room Type]]="ICU"),"High Cost","Normal Cost")</f>
        <v>High Cost</v>
      </c>
      <c r="Q11" t="str">
        <f>IF(Table1_1[[#This Row],[Age]]&lt;=18,"Child",IF(Table1_1[[#This Row],[Age]]&lt;=59,"Adult",IF(Table1_1[[#This Row],[Age]]&gt;=60,"Senior")))</f>
        <v>Adult</v>
      </c>
      <c r="S11" t="s">
        <v>374</v>
      </c>
      <c r="T11" t="s">
        <v>381</v>
      </c>
    </row>
    <row r="12" spans="1:20" x14ac:dyDescent="0.25">
      <c r="A12" t="s">
        <v>192</v>
      </c>
      <c r="B12" t="s">
        <v>351</v>
      </c>
      <c r="C12" t="s">
        <v>41</v>
      </c>
      <c r="D12">
        <v>18</v>
      </c>
      <c r="E12" t="s">
        <v>35</v>
      </c>
      <c r="F12" t="s">
        <v>379</v>
      </c>
      <c r="G12" t="s">
        <v>352</v>
      </c>
      <c r="H12" s="2">
        <v>46158</v>
      </c>
      <c r="I12" s="2">
        <v>46162</v>
      </c>
      <c r="J12" t="s">
        <v>357</v>
      </c>
      <c r="K12" t="s">
        <v>48</v>
      </c>
      <c r="L12">
        <v>39557</v>
      </c>
      <c r="M12" t="s">
        <v>354</v>
      </c>
      <c r="N12" t="s">
        <v>44</v>
      </c>
      <c r="O12" t="str">
        <f>IF(AND(Table1_1[[#This Row],[Age]]&gt;=60,Table1_1[[#This Row],[Insurance Status]]="Insured"),"senior Eligible","Not Eligible")</f>
        <v>Not Eligible</v>
      </c>
      <c r="P12" t="str">
        <f>IF(OR(Table1_1[[#This Row],[Treatment Cost]]&gt;=20000,Table1_1[[#This Row],[Room Type]]="ICU"),"High Cost","Normal Cost")</f>
        <v>High Cost</v>
      </c>
      <c r="Q12" t="str">
        <f>IF(Table1_1[[#This Row],[Age]]&lt;=18,"Child",IF(Table1_1[[#This Row],[Age]]&lt;=59,"Adult",IF(Table1_1[[#This Row],[Age]]&gt;=60,"Senior")))</f>
        <v>Child</v>
      </c>
      <c r="S12" t="s">
        <v>375</v>
      </c>
      <c r="T12" t="s">
        <v>381</v>
      </c>
    </row>
    <row r="13" spans="1:20" x14ac:dyDescent="0.25">
      <c r="A13" t="s">
        <v>261</v>
      </c>
      <c r="B13" t="s">
        <v>364</v>
      </c>
      <c r="C13" t="s">
        <v>56</v>
      </c>
      <c r="D13">
        <v>62</v>
      </c>
      <c r="E13" t="s">
        <v>35</v>
      </c>
      <c r="F13" t="s">
        <v>379</v>
      </c>
      <c r="G13" t="s">
        <v>352</v>
      </c>
      <c r="H13" s="2">
        <v>46052</v>
      </c>
      <c r="I13" s="2">
        <v>46053</v>
      </c>
      <c r="J13" t="s">
        <v>362</v>
      </c>
      <c r="K13" t="s">
        <v>37</v>
      </c>
      <c r="L13">
        <v>39402</v>
      </c>
      <c r="M13" t="s">
        <v>358</v>
      </c>
      <c r="N13" t="s">
        <v>44</v>
      </c>
      <c r="O13" t="str">
        <f>IF(AND(Table1_1[[#This Row],[Age]]&gt;=60,Table1_1[[#This Row],[Insurance Status]]="Insured"),"senior Eligible","Not Eligible")</f>
        <v>senior Eligible</v>
      </c>
      <c r="P13" t="str">
        <f>IF(OR(Table1_1[[#This Row],[Treatment Cost]]&gt;=20000,Table1_1[[#This Row],[Room Type]]="ICU"),"High Cost","Normal Cost")</f>
        <v>High Cost</v>
      </c>
      <c r="Q13" t="str">
        <f>IF(Table1_1[[#This Row],[Age]]&lt;=18,"Child",IF(Table1_1[[#This Row],[Age]]&lt;=59,"Adult",IF(Table1_1[[#This Row],[Age]]&gt;=60,"Senior")))</f>
        <v>Senior</v>
      </c>
      <c r="S13" t="s">
        <v>376</v>
      </c>
      <c r="T13" t="s">
        <v>381</v>
      </c>
    </row>
    <row r="14" spans="1:20" x14ac:dyDescent="0.25">
      <c r="A14" t="s">
        <v>109</v>
      </c>
      <c r="B14" t="s">
        <v>364</v>
      </c>
      <c r="C14" t="s">
        <v>56</v>
      </c>
      <c r="D14">
        <v>85</v>
      </c>
      <c r="E14" t="s">
        <v>35</v>
      </c>
      <c r="F14" t="s">
        <v>379</v>
      </c>
      <c r="G14" t="s">
        <v>54</v>
      </c>
      <c r="H14" s="2">
        <v>46044</v>
      </c>
      <c r="I14" s="2">
        <v>46048</v>
      </c>
      <c r="J14" t="s">
        <v>362</v>
      </c>
      <c r="K14" t="s">
        <v>37</v>
      </c>
      <c r="L14">
        <v>38993</v>
      </c>
      <c r="M14" t="s">
        <v>354</v>
      </c>
      <c r="N14" t="s">
        <v>39</v>
      </c>
      <c r="O14" t="str">
        <f>IF(AND(Table1_1[[#This Row],[Age]]&gt;=60,Table1_1[[#This Row],[Insurance Status]]="Insured"),"senior Eligible","Not Eligible")</f>
        <v>Not Eligible</v>
      </c>
      <c r="P14" t="str">
        <f>IF(OR(Table1_1[[#This Row],[Treatment Cost]]&gt;=20000,Table1_1[[#This Row],[Room Type]]="ICU"),"High Cost","Normal Cost")</f>
        <v>High Cost</v>
      </c>
      <c r="Q14" t="str">
        <f>IF(Table1_1[[#This Row],[Age]]&lt;=18,"Child",IF(Table1_1[[#This Row],[Age]]&lt;=59,"Adult",IF(Table1_1[[#This Row],[Age]]&gt;=60,"Senior")))</f>
        <v>Senior</v>
      </c>
      <c r="S14" t="s">
        <v>377</v>
      </c>
      <c r="T14" t="s">
        <v>381</v>
      </c>
    </row>
    <row r="15" spans="1:20" x14ac:dyDescent="0.25">
      <c r="A15" t="s">
        <v>317</v>
      </c>
      <c r="B15" t="s">
        <v>351</v>
      </c>
      <c r="C15" t="s">
        <v>56</v>
      </c>
      <c r="D15">
        <v>27</v>
      </c>
      <c r="E15" t="s">
        <v>27</v>
      </c>
      <c r="F15" t="s">
        <v>379</v>
      </c>
      <c r="G15" t="s">
        <v>356</v>
      </c>
      <c r="H15" s="2">
        <v>46149</v>
      </c>
      <c r="I15" s="2">
        <v>46152</v>
      </c>
      <c r="J15" t="s">
        <v>353</v>
      </c>
      <c r="K15" t="s">
        <v>31</v>
      </c>
      <c r="L15">
        <v>38721</v>
      </c>
      <c r="M15" t="s">
        <v>354</v>
      </c>
      <c r="N15" t="s">
        <v>39</v>
      </c>
      <c r="O15" t="str">
        <f>IF(AND(Table1_1[[#This Row],[Age]]&gt;=60,Table1_1[[#This Row],[Insurance Status]]="Insured"),"senior Eligible","Not Eligible")</f>
        <v>Not Eligible</v>
      </c>
      <c r="P15" t="str">
        <f>IF(OR(Table1_1[[#This Row],[Treatment Cost]]&gt;=20000,Table1_1[[#This Row],[Room Type]]="ICU"),"High Cost","Normal Cost")</f>
        <v>High Cost</v>
      </c>
      <c r="Q15" t="str">
        <f>IF(Table1_1[[#This Row],[Age]]&lt;=18,"Child",IF(Table1_1[[#This Row],[Age]]&lt;=59,"Adult",IF(Table1_1[[#This Row],[Age]]&gt;=60,"Senior")))</f>
        <v>Adult</v>
      </c>
      <c r="S15" t="s">
        <v>378</v>
      </c>
      <c r="T15" t="s">
        <v>381</v>
      </c>
    </row>
    <row r="16" spans="1:20" x14ac:dyDescent="0.25">
      <c r="A16" t="s">
        <v>78</v>
      </c>
      <c r="B16" t="s">
        <v>361</v>
      </c>
      <c r="C16" t="s">
        <v>41</v>
      </c>
      <c r="D16">
        <v>82</v>
      </c>
      <c r="E16" t="s">
        <v>17</v>
      </c>
      <c r="F16" t="s">
        <v>379</v>
      </c>
      <c r="G16" t="s">
        <v>54</v>
      </c>
      <c r="H16" s="2">
        <v>46193</v>
      </c>
      <c r="I16" s="2">
        <v>46201</v>
      </c>
      <c r="J16" t="s">
        <v>357</v>
      </c>
      <c r="K16" t="s">
        <v>31</v>
      </c>
      <c r="L16">
        <v>38238</v>
      </c>
      <c r="M16" t="s">
        <v>358</v>
      </c>
      <c r="N16" t="s">
        <v>23</v>
      </c>
      <c r="O16" t="str">
        <f>IF(AND(Table1_1[[#This Row],[Age]]&gt;=60,Table1_1[[#This Row],[Insurance Status]]="Insured"),"senior Eligible","Not Eligible")</f>
        <v>senior Eligible</v>
      </c>
      <c r="P16" t="str">
        <f>IF(OR(Table1_1[[#This Row],[Treatment Cost]]&gt;=20000,Table1_1[[#This Row],[Room Type]]="ICU"),"High Cost","Normal Cost")</f>
        <v>High Cost</v>
      </c>
      <c r="Q16" t="str">
        <f>IF(Table1_1[[#This Row],[Age]]&lt;=18,"Child",IF(Table1_1[[#This Row],[Age]]&lt;=59,"Adult",IF(Table1_1[[#This Row],[Age]]&gt;=60,"Senior")))</f>
        <v>Senior</v>
      </c>
    </row>
    <row r="17" spans="1:17" x14ac:dyDescent="0.25">
      <c r="A17" t="s">
        <v>83</v>
      </c>
      <c r="B17" t="s">
        <v>364</v>
      </c>
      <c r="C17" t="s">
        <v>56</v>
      </c>
      <c r="D17">
        <v>81</v>
      </c>
      <c r="E17" t="s">
        <v>27</v>
      </c>
      <c r="F17" t="s">
        <v>379</v>
      </c>
      <c r="G17" t="s">
        <v>360</v>
      </c>
      <c r="H17" s="2">
        <v>46056</v>
      </c>
      <c r="I17" s="2">
        <v>46058</v>
      </c>
      <c r="J17" t="s">
        <v>353</v>
      </c>
      <c r="K17" t="s">
        <v>21</v>
      </c>
      <c r="L17">
        <v>36731</v>
      </c>
      <c r="M17" t="s">
        <v>354</v>
      </c>
      <c r="N17" t="s">
        <v>23</v>
      </c>
      <c r="O17" t="str">
        <f>IF(AND(Table1_1[[#This Row],[Age]]&gt;=60,Table1_1[[#This Row],[Insurance Status]]="Insured"),"senior Eligible","Not Eligible")</f>
        <v>Not Eligible</v>
      </c>
      <c r="P17" t="str">
        <f>IF(OR(Table1_1[[#This Row],[Treatment Cost]]&gt;=20000,Table1_1[[#This Row],[Room Type]]="ICU"),"High Cost","Normal Cost")</f>
        <v>High Cost</v>
      </c>
      <c r="Q17" t="str">
        <f>IF(Table1_1[[#This Row],[Age]]&lt;=18,"Child",IF(Table1_1[[#This Row],[Age]]&lt;=59,"Adult",IF(Table1_1[[#This Row],[Age]]&gt;=60,"Senior")))</f>
        <v>Senior</v>
      </c>
    </row>
    <row r="18" spans="1:17" x14ac:dyDescent="0.25">
      <c r="A18" t="s">
        <v>238</v>
      </c>
      <c r="B18" t="s">
        <v>363</v>
      </c>
      <c r="C18" t="s">
        <v>56</v>
      </c>
      <c r="D18">
        <v>72</v>
      </c>
      <c r="E18" t="s">
        <v>17</v>
      </c>
      <c r="F18" t="s">
        <v>379</v>
      </c>
      <c r="G18" t="s">
        <v>54</v>
      </c>
      <c r="H18" s="2">
        <v>46163</v>
      </c>
      <c r="I18" s="2">
        <v>46168</v>
      </c>
      <c r="J18" t="s">
        <v>362</v>
      </c>
      <c r="K18" t="s">
        <v>48</v>
      </c>
      <c r="L18">
        <v>36359</v>
      </c>
      <c r="M18" t="s">
        <v>354</v>
      </c>
      <c r="N18" t="s">
        <v>39</v>
      </c>
      <c r="O18" t="str">
        <f>IF(AND(Table1_1[[#This Row],[Age]]&gt;=60,Table1_1[[#This Row],[Insurance Status]]="Insured"),"senior Eligible","Not Eligible")</f>
        <v>Not Eligible</v>
      </c>
      <c r="P18" t="str">
        <f>IF(OR(Table1_1[[#This Row],[Treatment Cost]]&gt;=20000,Table1_1[[#This Row],[Room Type]]="ICU"),"High Cost","Normal Cost")</f>
        <v>High Cost</v>
      </c>
      <c r="Q18" t="str">
        <f>IF(Table1_1[[#This Row],[Age]]&lt;=18,"Child",IF(Table1_1[[#This Row],[Age]]&lt;=59,"Adult",IF(Table1_1[[#This Row],[Age]]&gt;=60,"Senior")))</f>
        <v>Senior</v>
      </c>
    </row>
    <row r="19" spans="1:17" x14ac:dyDescent="0.25">
      <c r="A19" t="s">
        <v>297</v>
      </c>
      <c r="B19" t="s">
        <v>361</v>
      </c>
      <c r="C19" t="s">
        <v>56</v>
      </c>
      <c r="D19">
        <v>34</v>
      </c>
      <c r="E19" t="s">
        <v>35</v>
      </c>
      <c r="F19" t="s">
        <v>379</v>
      </c>
      <c r="G19" t="s">
        <v>54</v>
      </c>
      <c r="H19" s="2">
        <v>46044</v>
      </c>
      <c r="I19" s="2">
        <v>46048</v>
      </c>
      <c r="J19" t="s">
        <v>353</v>
      </c>
      <c r="K19" t="s">
        <v>21</v>
      </c>
      <c r="L19">
        <v>35996</v>
      </c>
      <c r="M19" t="s">
        <v>358</v>
      </c>
      <c r="N19" t="s">
        <v>44</v>
      </c>
      <c r="O19" t="str">
        <f>IF(AND(Table1_1[[#This Row],[Age]]&gt;=60,Table1_1[[#This Row],[Insurance Status]]="Insured"),"senior Eligible","Not Eligible")</f>
        <v>Not Eligible</v>
      </c>
      <c r="P19" t="str">
        <f>IF(OR(Table1_1[[#This Row],[Treatment Cost]]&gt;=20000,Table1_1[[#This Row],[Room Type]]="ICU"),"High Cost","Normal Cost")</f>
        <v>High Cost</v>
      </c>
      <c r="Q19" t="str">
        <f>IF(Table1_1[[#This Row],[Age]]&lt;=18,"Child",IF(Table1_1[[#This Row],[Age]]&lt;=59,"Adult",IF(Table1_1[[#This Row],[Age]]&gt;=60,"Senior")))</f>
        <v>Adult</v>
      </c>
    </row>
    <row r="20" spans="1:17" x14ac:dyDescent="0.25">
      <c r="A20" t="s">
        <v>223</v>
      </c>
      <c r="B20" t="s">
        <v>359</v>
      </c>
      <c r="C20" t="s">
        <v>41</v>
      </c>
      <c r="D20">
        <v>78</v>
      </c>
      <c r="E20" t="s">
        <v>17</v>
      </c>
      <c r="F20" t="s">
        <v>379</v>
      </c>
      <c r="G20" t="s">
        <v>360</v>
      </c>
      <c r="H20" s="2">
        <v>46102</v>
      </c>
      <c r="I20" s="2">
        <v>46107</v>
      </c>
      <c r="J20" t="s">
        <v>357</v>
      </c>
      <c r="K20" t="s">
        <v>48</v>
      </c>
      <c r="L20">
        <v>35679</v>
      </c>
      <c r="M20" t="s">
        <v>354</v>
      </c>
      <c r="N20" t="s">
        <v>23</v>
      </c>
      <c r="O20" t="str">
        <f>IF(AND(Table1_1[[#This Row],[Age]]&gt;=60,Table1_1[[#This Row],[Insurance Status]]="Insured"),"senior Eligible","Not Eligible")</f>
        <v>Not Eligible</v>
      </c>
      <c r="P20" t="str">
        <f>IF(OR(Table1_1[[#This Row],[Treatment Cost]]&gt;=20000,Table1_1[[#This Row],[Room Type]]="ICU"),"High Cost","Normal Cost")</f>
        <v>High Cost</v>
      </c>
      <c r="Q20" t="str">
        <f>IF(Table1_1[[#This Row],[Age]]&lt;=18,"Child",IF(Table1_1[[#This Row],[Age]]&lt;=59,"Adult",IF(Table1_1[[#This Row],[Age]]&gt;=60,"Senior")))</f>
        <v>Senior</v>
      </c>
    </row>
    <row r="21" spans="1:17" x14ac:dyDescent="0.25">
      <c r="A21" t="s">
        <v>97</v>
      </c>
      <c r="B21" t="s">
        <v>363</v>
      </c>
      <c r="C21" t="s">
        <v>41</v>
      </c>
      <c r="D21">
        <v>69</v>
      </c>
      <c r="E21" t="s">
        <v>35</v>
      </c>
      <c r="F21" t="s">
        <v>379</v>
      </c>
      <c r="G21" t="s">
        <v>356</v>
      </c>
      <c r="H21" s="2">
        <v>46173</v>
      </c>
      <c r="I21" s="2">
        <v>46179</v>
      </c>
      <c r="J21" t="s">
        <v>357</v>
      </c>
      <c r="K21" t="s">
        <v>48</v>
      </c>
      <c r="L21">
        <v>35260</v>
      </c>
      <c r="M21" t="s">
        <v>358</v>
      </c>
      <c r="N21" t="s">
        <v>23</v>
      </c>
      <c r="O21" t="str">
        <f>IF(AND(Table1_1[[#This Row],[Age]]&gt;=60,Table1_1[[#This Row],[Insurance Status]]="Insured"),"senior Eligible","Not Eligible")</f>
        <v>senior Eligible</v>
      </c>
      <c r="P21" t="str">
        <f>IF(OR(Table1_1[[#This Row],[Treatment Cost]]&gt;=20000,Table1_1[[#This Row],[Room Type]]="ICU"),"High Cost","Normal Cost")</f>
        <v>High Cost</v>
      </c>
      <c r="Q21" t="str">
        <f>IF(Table1_1[[#This Row],[Age]]&lt;=18,"Child",IF(Table1_1[[#This Row],[Age]]&lt;=59,"Adult",IF(Table1_1[[#This Row],[Age]]&gt;=60,"Senior")))</f>
        <v>Senior</v>
      </c>
    </row>
    <row r="22" spans="1:17" x14ac:dyDescent="0.25">
      <c r="A22" t="s">
        <v>103</v>
      </c>
      <c r="B22" t="s">
        <v>361</v>
      </c>
      <c r="C22" t="s">
        <v>56</v>
      </c>
      <c r="D22">
        <v>33</v>
      </c>
      <c r="E22" t="s">
        <v>47</v>
      </c>
      <c r="F22" t="s">
        <v>379</v>
      </c>
      <c r="G22" t="s">
        <v>54</v>
      </c>
      <c r="H22" s="2">
        <v>46027</v>
      </c>
      <c r="I22" s="2">
        <v>46031</v>
      </c>
      <c r="J22" t="s">
        <v>357</v>
      </c>
      <c r="K22" t="s">
        <v>48</v>
      </c>
      <c r="L22">
        <v>34767</v>
      </c>
      <c r="M22" t="s">
        <v>354</v>
      </c>
      <c r="N22" t="s">
        <v>39</v>
      </c>
      <c r="O22" t="str">
        <f>IF(AND(Table1_1[[#This Row],[Age]]&gt;=60,Table1_1[[#This Row],[Insurance Status]]="Insured"),"senior Eligible","Not Eligible")</f>
        <v>Not Eligible</v>
      </c>
      <c r="P22" t="str">
        <f>IF(OR(Table1_1[[#This Row],[Treatment Cost]]&gt;=20000,Table1_1[[#This Row],[Room Type]]="ICU"),"High Cost","Normal Cost")</f>
        <v>High Cost</v>
      </c>
      <c r="Q22" t="str">
        <f>IF(Table1_1[[#This Row],[Age]]&lt;=18,"Child",IF(Table1_1[[#This Row],[Age]]&lt;=59,"Adult",IF(Table1_1[[#This Row],[Age]]&gt;=60,"Senior")))</f>
        <v>Adult</v>
      </c>
    </row>
    <row r="23" spans="1:17" x14ac:dyDescent="0.25">
      <c r="A23" t="s">
        <v>40</v>
      </c>
      <c r="B23" t="s">
        <v>351</v>
      </c>
      <c r="C23" t="s">
        <v>41</v>
      </c>
      <c r="D23">
        <v>73</v>
      </c>
      <c r="E23" t="s">
        <v>17</v>
      </c>
      <c r="F23" t="s">
        <v>379</v>
      </c>
      <c r="G23" t="s">
        <v>356</v>
      </c>
      <c r="H23" s="2">
        <v>46061</v>
      </c>
      <c r="I23" s="2">
        <v>46065</v>
      </c>
      <c r="J23" t="s">
        <v>357</v>
      </c>
      <c r="K23" t="s">
        <v>21</v>
      </c>
      <c r="L23">
        <v>34250</v>
      </c>
      <c r="M23" t="s">
        <v>358</v>
      </c>
      <c r="N23" t="s">
        <v>44</v>
      </c>
      <c r="O23" t="str">
        <f>IF(AND(Table1_1[[#This Row],[Age]]&gt;=60,Table1_1[[#This Row],[Insurance Status]]="Insured"),"senior Eligible","Not Eligible")</f>
        <v>senior Eligible</v>
      </c>
      <c r="P23" t="str">
        <f>IF(OR(Table1_1[[#This Row],[Treatment Cost]]&gt;=20000,Table1_1[[#This Row],[Room Type]]="ICU"),"High Cost","Normal Cost")</f>
        <v>High Cost</v>
      </c>
      <c r="Q23" t="str">
        <f>IF(Table1_1[[#This Row],[Age]]&lt;=18,"Child",IF(Table1_1[[#This Row],[Age]]&lt;=59,"Adult",IF(Table1_1[[#This Row],[Age]]&gt;=60,"Senior")))</f>
        <v>Senior</v>
      </c>
    </row>
    <row r="24" spans="1:17" x14ac:dyDescent="0.25">
      <c r="A24" t="s">
        <v>349</v>
      </c>
      <c r="B24" t="s">
        <v>355</v>
      </c>
      <c r="C24" t="s">
        <v>56</v>
      </c>
      <c r="D24">
        <v>71</v>
      </c>
      <c r="E24" t="s">
        <v>27</v>
      </c>
      <c r="F24" t="s">
        <v>379</v>
      </c>
      <c r="G24" t="s">
        <v>54</v>
      </c>
      <c r="H24" s="2">
        <v>46038</v>
      </c>
      <c r="I24" s="2">
        <v>46043</v>
      </c>
      <c r="J24" t="s">
        <v>362</v>
      </c>
      <c r="K24" t="s">
        <v>31</v>
      </c>
      <c r="L24">
        <v>32917</v>
      </c>
      <c r="M24" t="s">
        <v>358</v>
      </c>
      <c r="N24" t="s">
        <v>39</v>
      </c>
      <c r="O24" t="str">
        <f>IF(AND(Table1_1[[#This Row],[Age]]&gt;=60,Table1_1[[#This Row],[Insurance Status]]="Insured"),"senior Eligible","Not Eligible")</f>
        <v>senior Eligible</v>
      </c>
      <c r="P24" t="str">
        <f>IF(OR(Table1_1[[#This Row],[Treatment Cost]]&gt;=20000,Table1_1[[#This Row],[Room Type]]="ICU"),"High Cost","Normal Cost")</f>
        <v>High Cost</v>
      </c>
      <c r="Q24" t="str">
        <f>IF(Table1_1[[#This Row],[Age]]&lt;=18,"Child",IF(Table1_1[[#This Row],[Age]]&lt;=59,"Adult",IF(Table1_1[[#This Row],[Age]]&gt;=60,"Senior")))</f>
        <v>Senior</v>
      </c>
    </row>
    <row r="25" spans="1:17" x14ac:dyDescent="0.25">
      <c r="A25" t="s">
        <v>88</v>
      </c>
      <c r="B25" t="s">
        <v>361</v>
      </c>
      <c r="C25" t="s">
        <v>56</v>
      </c>
      <c r="D25">
        <v>50</v>
      </c>
      <c r="E25" t="s">
        <v>35</v>
      </c>
      <c r="F25" t="s">
        <v>379</v>
      </c>
      <c r="G25" t="s">
        <v>352</v>
      </c>
      <c r="H25" s="2">
        <v>46089</v>
      </c>
      <c r="I25" s="2">
        <v>46093</v>
      </c>
      <c r="J25" t="s">
        <v>362</v>
      </c>
      <c r="K25" t="s">
        <v>21</v>
      </c>
      <c r="L25">
        <v>32512</v>
      </c>
      <c r="M25" t="s">
        <v>354</v>
      </c>
      <c r="N25" t="s">
        <v>39</v>
      </c>
      <c r="O25" t="str">
        <f>IF(AND(Table1_1[[#This Row],[Age]]&gt;=60,Table1_1[[#This Row],[Insurance Status]]="Insured"),"senior Eligible","Not Eligible")</f>
        <v>Not Eligible</v>
      </c>
      <c r="P25" t="str">
        <f>IF(OR(Table1_1[[#This Row],[Treatment Cost]]&gt;=20000,Table1_1[[#This Row],[Room Type]]="ICU"),"High Cost","Normal Cost")</f>
        <v>High Cost</v>
      </c>
      <c r="Q25" t="str">
        <f>IF(Table1_1[[#This Row],[Age]]&lt;=18,"Child",IF(Table1_1[[#This Row],[Age]]&lt;=59,"Adult",IF(Table1_1[[#This Row],[Age]]&gt;=60,"Senior")))</f>
        <v>Adult</v>
      </c>
    </row>
    <row r="26" spans="1:17" x14ac:dyDescent="0.25">
      <c r="A26" t="s">
        <v>118</v>
      </c>
      <c r="B26" t="s">
        <v>361</v>
      </c>
      <c r="C26" t="s">
        <v>56</v>
      </c>
      <c r="D26">
        <v>26</v>
      </c>
      <c r="E26" t="s">
        <v>35</v>
      </c>
      <c r="F26" t="s">
        <v>379</v>
      </c>
      <c r="G26" t="s">
        <v>352</v>
      </c>
      <c r="H26" s="2">
        <v>46191</v>
      </c>
      <c r="I26" s="2">
        <v>46201</v>
      </c>
      <c r="J26" t="s">
        <v>353</v>
      </c>
      <c r="K26" t="s">
        <v>21</v>
      </c>
      <c r="L26">
        <v>32125</v>
      </c>
      <c r="M26" t="s">
        <v>358</v>
      </c>
      <c r="N26" t="s">
        <v>44</v>
      </c>
      <c r="O26" t="str">
        <f>IF(AND(Table1_1[[#This Row],[Age]]&gt;=60,Table1_1[[#This Row],[Insurance Status]]="Insured"),"senior Eligible","Not Eligible")</f>
        <v>Not Eligible</v>
      </c>
      <c r="P26" t="str">
        <f>IF(OR(Table1_1[[#This Row],[Treatment Cost]]&gt;=20000,Table1_1[[#This Row],[Room Type]]="ICU"),"High Cost","Normal Cost")</f>
        <v>High Cost</v>
      </c>
      <c r="Q26" t="str">
        <f>IF(Table1_1[[#This Row],[Age]]&lt;=18,"Child",IF(Table1_1[[#This Row],[Age]]&lt;=59,"Adult",IF(Table1_1[[#This Row],[Age]]&gt;=60,"Senior")))</f>
        <v>Adult</v>
      </c>
    </row>
    <row r="27" spans="1:17" x14ac:dyDescent="0.25">
      <c r="A27" t="s">
        <v>125</v>
      </c>
      <c r="B27" t="s">
        <v>364</v>
      </c>
      <c r="C27" t="s">
        <v>56</v>
      </c>
      <c r="D27">
        <v>84</v>
      </c>
      <c r="E27" t="s">
        <v>17</v>
      </c>
      <c r="F27" t="s">
        <v>379</v>
      </c>
      <c r="G27" t="s">
        <v>352</v>
      </c>
      <c r="H27" s="2">
        <v>46048</v>
      </c>
      <c r="I27" s="2">
        <v>46054</v>
      </c>
      <c r="J27" t="s">
        <v>353</v>
      </c>
      <c r="K27" t="s">
        <v>48</v>
      </c>
      <c r="L27">
        <v>31978</v>
      </c>
      <c r="M27" t="s">
        <v>358</v>
      </c>
      <c r="N27" t="s">
        <v>39</v>
      </c>
      <c r="O27" t="str">
        <f>IF(AND(Table1_1[[#This Row],[Age]]&gt;=60,Table1_1[[#This Row],[Insurance Status]]="Insured"),"senior Eligible","Not Eligible")</f>
        <v>senior Eligible</v>
      </c>
      <c r="P27" t="str">
        <f>IF(OR(Table1_1[[#This Row],[Treatment Cost]]&gt;=20000,Table1_1[[#This Row],[Room Type]]="ICU"),"High Cost","Normal Cost")</f>
        <v>High Cost</v>
      </c>
      <c r="Q27" t="str">
        <f>IF(Table1_1[[#This Row],[Age]]&lt;=18,"Child",IF(Table1_1[[#This Row],[Age]]&lt;=59,"Adult",IF(Table1_1[[#This Row],[Age]]&gt;=60,"Senior")))</f>
        <v>Senior</v>
      </c>
    </row>
    <row r="28" spans="1:17" x14ac:dyDescent="0.25">
      <c r="A28" t="s">
        <v>251</v>
      </c>
      <c r="B28" t="s">
        <v>355</v>
      </c>
      <c r="C28" t="s">
        <v>56</v>
      </c>
      <c r="D28">
        <v>55</v>
      </c>
      <c r="E28" t="s">
        <v>17</v>
      </c>
      <c r="F28" t="s">
        <v>379</v>
      </c>
      <c r="G28" t="s">
        <v>356</v>
      </c>
      <c r="H28" s="2">
        <v>46039</v>
      </c>
      <c r="I28" s="2">
        <v>46043</v>
      </c>
      <c r="J28" t="s">
        <v>357</v>
      </c>
      <c r="K28" t="s">
        <v>48</v>
      </c>
      <c r="L28">
        <v>31641</v>
      </c>
      <c r="M28" t="s">
        <v>358</v>
      </c>
      <c r="N28" t="s">
        <v>23</v>
      </c>
      <c r="O28" t="str">
        <f>IF(AND(Table1_1[[#This Row],[Age]]&gt;=60,Table1_1[[#This Row],[Insurance Status]]="Insured"),"senior Eligible","Not Eligible")</f>
        <v>Not Eligible</v>
      </c>
      <c r="P28" t="str">
        <f>IF(OR(Table1_1[[#This Row],[Treatment Cost]]&gt;=20000,Table1_1[[#This Row],[Room Type]]="ICU"),"High Cost","Normal Cost")</f>
        <v>High Cost</v>
      </c>
      <c r="Q28" t="str">
        <f>IF(Table1_1[[#This Row],[Age]]&lt;=18,"Child",IF(Table1_1[[#This Row],[Age]]&lt;=59,"Adult",IF(Table1_1[[#This Row],[Age]]&gt;=60,"Senior")))</f>
        <v>Adult</v>
      </c>
    </row>
    <row r="29" spans="1:17" x14ac:dyDescent="0.25">
      <c r="A29" t="s">
        <v>216</v>
      </c>
      <c r="B29" t="s">
        <v>361</v>
      </c>
      <c r="C29" t="s">
        <v>41</v>
      </c>
      <c r="D29">
        <v>34</v>
      </c>
      <c r="E29" t="s">
        <v>27</v>
      </c>
      <c r="F29" t="s">
        <v>379</v>
      </c>
      <c r="G29" t="s">
        <v>356</v>
      </c>
      <c r="H29" s="2">
        <v>46159</v>
      </c>
      <c r="I29" s="2">
        <v>46161</v>
      </c>
      <c r="J29" t="s">
        <v>362</v>
      </c>
      <c r="K29" t="s">
        <v>48</v>
      </c>
      <c r="L29">
        <v>31422</v>
      </c>
      <c r="M29" t="s">
        <v>354</v>
      </c>
      <c r="N29" t="s">
        <v>23</v>
      </c>
      <c r="O29" t="str">
        <f>IF(AND(Table1_1[[#This Row],[Age]]&gt;=60,Table1_1[[#This Row],[Insurance Status]]="Insured"),"senior Eligible","Not Eligible")</f>
        <v>Not Eligible</v>
      </c>
      <c r="P29" t="str">
        <f>IF(OR(Table1_1[[#This Row],[Treatment Cost]]&gt;=20000,Table1_1[[#This Row],[Room Type]]="ICU"),"High Cost","Normal Cost")</f>
        <v>High Cost</v>
      </c>
      <c r="Q29" t="str">
        <f>IF(Table1_1[[#This Row],[Age]]&lt;=18,"Child",IF(Table1_1[[#This Row],[Age]]&lt;=59,"Adult",IF(Table1_1[[#This Row],[Age]]&gt;=60,"Senior")))</f>
        <v>Adult</v>
      </c>
    </row>
    <row r="30" spans="1:17" x14ac:dyDescent="0.25">
      <c r="A30" t="s">
        <v>284</v>
      </c>
      <c r="B30" t="s">
        <v>351</v>
      </c>
      <c r="C30" t="s">
        <v>41</v>
      </c>
      <c r="D30">
        <v>28</v>
      </c>
      <c r="E30" t="s">
        <v>35</v>
      </c>
      <c r="F30" t="s">
        <v>379</v>
      </c>
      <c r="G30" t="s">
        <v>360</v>
      </c>
      <c r="H30" s="2">
        <v>46104</v>
      </c>
      <c r="I30" s="2">
        <v>46109</v>
      </c>
      <c r="J30" t="s">
        <v>357</v>
      </c>
      <c r="K30" t="s">
        <v>37</v>
      </c>
      <c r="L30">
        <v>31040</v>
      </c>
      <c r="M30" t="s">
        <v>358</v>
      </c>
      <c r="N30" t="s">
        <v>23</v>
      </c>
      <c r="O30" t="str">
        <f>IF(AND(Table1_1[[#This Row],[Age]]&gt;=60,Table1_1[[#This Row],[Insurance Status]]="Insured"),"senior Eligible","Not Eligible")</f>
        <v>Not Eligible</v>
      </c>
      <c r="P30" t="str">
        <f>IF(OR(Table1_1[[#This Row],[Treatment Cost]]&gt;=20000,Table1_1[[#This Row],[Room Type]]="ICU"),"High Cost","Normal Cost")</f>
        <v>High Cost</v>
      </c>
      <c r="Q30" t="str">
        <f>IF(Table1_1[[#This Row],[Age]]&lt;=18,"Child",IF(Table1_1[[#This Row],[Age]]&lt;=59,"Adult",IF(Table1_1[[#This Row],[Age]]&gt;=60,"Senior")))</f>
        <v>Adult</v>
      </c>
    </row>
    <row r="31" spans="1:17" x14ac:dyDescent="0.25">
      <c r="A31" t="s">
        <v>169</v>
      </c>
      <c r="B31" t="s">
        <v>361</v>
      </c>
      <c r="C31" t="s">
        <v>41</v>
      </c>
      <c r="D31">
        <v>24</v>
      </c>
      <c r="E31" t="s">
        <v>35</v>
      </c>
      <c r="F31" t="s">
        <v>379</v>
      </c>
      <c r="G31" t="s">
        <v>360</v>
      </c>
      <c r="H31" s="2">
        <v>46198</v>
      </c>
      <c r="I31" s="2">
        <v>46204</v>
      </c>
      <c r="J31" t="s">
        <v>357</v>
      </c>
      <c r="K31" t="s">
        <v>37</v>
      </c>
      <c r="L31">
        <v>30664</v>
      </c>
      <c r="M31" t="s">
        <v>354</v>
      </c>
      <c r="N31" t="s">
        <v>23</v>
      </c>
      <c r="O31" t="str">
        <f>IF(AND(Table1_1[[#This Row],[Age]]&gt;=60,Table1_1[[#This Row],[Insurance Status]]="Insured"),"senior Eligible","Not Eligible")</f>
        <v>Not Eligible</v>
      </c>
      <c r="P31" t="str">
        <f>IF(OR(Table1_1[[#This Row],[Treatment Cost]]&gt;=20000,Table1_1[[#This Row],[Room Type]]="ICU"),"High Cost","Normal Cost")</f>
        <v>High Cost</v>
      </c>
      <c r="Q31" t="str">
        <f>IF(Table1_1[[#This Row],[Age]]&lt;=18,"Child",IF(Table1_1[[#This Row],[Age]]&lt;=59,"Adult",IF(Table1_1[[#This Row],[Age]]&gt;=60,"Senior")))</f>
        <v>Adult</v>
      </c>
    </row>
    <row r="32" spans="1:17" x14ac:dyDescent="0.25">
      <c r="A32" t="s">
        <v>135</v>
      </c>
      <c r="B32" t="s">
        <v>364</v>
      </c>
      <c r="C32" t="s">
        <v>56</v>
      </c>
      <c r="D32">
        <v>73</v>
      </c>
      <c r="E32" t="s">
        <v>27</v>
      </c>
      <c r="F32" t="s">
        <v>379</v>
      </c>
      <c r="G32" t="s">
        <v>54</v>
      </c>
      <c r="H32" s="2">
        <v>46139</v>
      </c>
      <c r="I32" s="2">
        <v>46145</v>
      </c>
      <c r="J32" t="s">
        <v>362</v>
      </c>
      <c r="K32" t="s">
        <v>31</v>
      </c>
      <c r="L32">
        <v>30552</v>
      </c>
      <c r="M32" t="s">
        <v>354</v>
      </c>
      <c r="N32" t="s">
        <v>23</v>
      </c>
      <c r="O32" t="str">
        <f>IF(AND(Table1_1[[#This Row],[Age]]&gt;=60,Table1_1[[#This Row],[Insurance Status]]="Insured"),"senior Eligible","Not Eligible")</f>
        <v>Not Eligible</v>
      </c>
      <c r="P32" t="str">
        <f>IF(OR(Table1_1[[#This Row],[Treatment Cost]]&gt;=20000,Table1_1[[#This Row],[Room Type]]="ICU"),"High Cost","Normal Cost")</f>
        <v>High Cost</v>
      </c>
      <c r="Q32" t="str">
        <f>IF(Table1_1[[#This Row],[Age]]&lt;=18,"Child",IF(Table1_1[[#This Row],[Age]]&lt;=59,"Adult",IF(Table1_1[[#This Row],[Age]]&gt;=60,"Senior")))</f>
        <v>Senior</v>
      </c>
    </row>
    <row r="33" spans="1:17" x14ac:dyDescent="0.25">
      <c r="A33" t="s">
        <v>264</v>
      </c>
      <c r="B33" t="s">
        <v>355</v>
      </c>
      <c r="C33" t="s">
        <v>56</v>
      </c>
      <c r="D33">
        <v>23</v>
      </c>
      <c r="E33" t="s">
        <v>27</v>
      </c>
      <c r="F33" t="s">
        <v>379</v>
      </c>
      <c r="G33" t="s">
        <v>54</v>
      </c>
      <c r="H33" s="2">
        <v>46145</v>
      </c>
      <c r="I33" s="2">
        <v>46154</v>
      </c>
      <c r="J33" t="s">
        <v>353</v>
      </c>
      <c r="K33" t="s">
        <v>37</v>
      </c>
      <c r="L33">
        <v>29171</v>
      </c>
      <c r="M33" t="s">
        <v>354</v>
      </c>
      <c r="N33" t="s">
        <v>44</v>
      </c>
      <c r="O33" t="str">
        <f>IF(AND(Table1_1[[#This Row],[Age]]&gt;=60,Table1_1[[#This Row],[Insurance Status]]="Insured"),"senior Eligible","Not Eligible")</f>
        <v>Not Eligible</v>
      </c>
      <c r="P33" t="str">
        <f>IF(OR(Table1_1[[#This Row],[Treatment Cost]]&gt;=20000,Table1_1[[#This Row],[Room Type]]="ICU"),"High Cost","Normal Cost")</f>
        <v>High Cost</v>
      </c>
      <c r="Q33" t="str">
        <f>IF(Table1_1[[#This Row],[Age]]&lt;=18,"Child",IF(Table1_1[[#This Row],[Age]]&lt;=59,"Adult",IF(Table1_1[[#This Row],[Age]]&gt;=60,"Senior")))</f>
        <v>Adult</v>
      </c>
    </row>
    <row r="34" spans="1:17" x14ac:dyDescent="0.25">
      <c r="A34" t="s">
        <v>181</v>
      </c>
      <c r="B34" t="s">
        <v>364</v>
      </c>
      <c r="C34" t="s">
        <v>41</v>
      </c>
      <c r="D34">
        <v>76</v>
      </c>
      <c r="E34" t="s">
        <v>27</v>
      </c>
      <c r="F34" t="s">
        <v>379</v>
      </c>
      <c r="G34" t="s">
        <v>360</v>
      </c>
      <c r="H34" s="2">
        <v>46024</v>
      </c>
      <c r="I34" s="2">
        <v>46026</v>
      </c>
      <c r="J34" t="s">
        <v>353</v>
      </c>
      <c r="K34" t="s">
        <v>48</v>
      </c>
      <c r="L34">
        <v>28688</v>
      </c>
      <c r="M34" t="s">
        <v>354</v>
      </c>
      <c r="N34" t="s">
        <v>23</v>
      </c>
      <c r="O34" t="str">
        <f>IF(AND(Table1_1[[#This Row],[Age]]&gt;=60,Table1_1[[#This Row],[Insurance Status]]="Insured"),"senior Eligible","Not Eligible")</f>
        <v>Not Eligible</v>
      </c>
      <c r="P34" t="str">
        <f>IF(OR(Table1_1[[#This Row],[Treatment Cost]]&gt;=20000,Table1_1[[#This Row],[Room Type]]="ICU"),"High Cost","Normal Cost")</f>
        <v>High Cost</v>
      </c>
      <c r="Q34" t="str">
        <f>IF(Table1_1[[#This Row],[Age]]&lt;=18,"Child",IF(Table1_1[[#This Row],[Age]]&lt;=59,"Adult",IF(Table1_1[[#This Row],[Age]]&gt;=60,"Senior")))</f>
        <v>Senior</v>
      </c>
    </row>
    <row r="35" spans="1:17" x14ac:dyDescent="0.25">
      <c r="A35" t="s">
        <v>73</v>
      </c>
      <c r="B35" t="s">
        <v>364</v>
      </c>
      <c r="C35" t="s">
        <v>41</v>
      </c>
      <c r="D35">
        <v>77</v>
      </c>
      <c r="E35" t="s">
        <v>27</v>
      </c>
      <c r="F35" t="s">
        <v>379</v>
      </c>
      <c r="G35" t="s">
        <v>352</v>
      </c>
      <c r="H35" s="2">
        <v>46039</v>
      </c>
      <c r="I35" s="2">
        <v>46045</v>
      </c>
      <c r="J35" t="s">
        <v>353</v>
      </c>
      <c r="K35" t="s">
        <v>31</v>
      </c>
      <c r="L35">
        <v>28403</v>
      </c>
      <c r="M35" t="s">
        <v>358</v>
      </c>
      <c r="N35" t="s">
        <v>44</v>
      </c>
      <c r="O35" t="str">
        <f>IF(AND(Table1_1[[#This Row],[Age]]&gt;=60,Table1_1[[#This Row],[Insurance Status]]="Insured"),"senior Eligible","Not Eligible")</f>
        <v>senior Eligible</v>
      </c>
      <c r="P35" t="str">
        <f>IF(OR(Table1_1[[#This Row],[Treatment Cost]]&gt;=20000,Table1_1[[#This Row],[Room Type]]="ICU"),"High Cost","Normal Cost")</f>
        <v>High Cost</v>
      </c>
      <c r="Q35" t="str">
        <f>IF(Table1_1[[#This Row],[Age]]&lt;=18,"Child",IF(Table1_1[[#This Row],[Age]]&lt;=59,"Adult",IF(Table1_1[[#This Row],[Age]]&gt;=60,"Senior")))</f>
        <v>Senior</v>
      </c>
    </row>
    <row r="36" spans="1:17" x14ac:dyDescent="0.25">
      <c r="A36" t="s">
        <v>128</v>
      </c>
      <c r="B36" t="s">
        <v>351</v>
      </c>
      <c r="C36" t="s">
        <v>41</v>
      </c>
      <c r="D36">
        <v>70</v>
      </c>
      <c r="E36" t="s">
        <v>27</v>
      </c>
      <c r="F36" t="s">
        <v>379</v>
      </c>
      <c r="G36" t="s">
        <v>360</v>
      </c>
      <c r="H36" s="2">
        <v>46104</v>
      </c>
      <c r="I36" s="2">
        <v>46112</v>
      </c>
      <c r="J36" t="s">
        <v>362</v>
      </c>
      <c r="K36" t="s">
        <v>21</v>
      </c>
      <c r="L36">
        <v>27687</v>
      </c>
      <c r="M36" t="s">
        <v>358</v>
      </c>
      <c r="N36" t="s">
        <v>44</v>
      </c>
      <c r="O36" t="str">
        <f>IF(AND(Table1_1[[#This Row],[Age]]&gt;=60,Table1_1[[#This Row],[Insurance Status]]="Insured"),"senior Eligible","Not Eligible")</f>
        <v>senior Eligible</v>
      </c>
      <c r="P36" t="str">
        <f>IF(OR(Table1_1[[#This Row],[Treatment Cost]]&gt;=20000,Table1_1[[#This Row],[Room Type]]="ICU"),"High Cost","Normal Cost")</f>
        <v>High Cost</v>
      </c>
      <c r="Q36" t="str">
        <f>IF(Table1_1[[#This Row],[Age]]&lt;=18,"Child",IF(Table1_1[[#This Row],[Age]]&lt;=59,"Adult",IF(Table1_1[[#This Row],[Age]]&gt;=60,"Senior")))</f>
        <v>Senior</v>
      </c>
    </row>
    <row r="37" spans="1:17" x14ac:dyDescent="0.25">
      <c r="A37" t="s">
        <v>159</v>
      </c>
      <c r="B37" t="s">
        <v>351</v>
      </c>
      <c r="C37" t="s">
        <v>41</v>
      </c>
      <c r="D37">
        <v>79</v>
      </c>
      <c r="E37" t="s">
        <v>47</v>
      </c>
      <c r="F37" t="s">
        <v>379</v>
      </c>
      <c r="G37" t="s">
        <v>352</v>
      </c>
      <c r="H37" s="2">
        <v>46034</v>
      </c>
      <c r="I37" s="2">
        <v>46036</v>
      </c>
      <c r="J37" t="s">
        <v>357</v>
      </c>
      <c r="K37" t="s">
        <v>31</v>
      </c>
      <c r="L37">
        <v>27028</v>
      </c>
      <c r="M37" t="s">
        <v>354</v>
      </c>
      <c r="N37" t="s">
        <v>44</v>
      </c>
      <c r="O37" t="str">
        <f>IF(AND(Table1_1[[#This Row],[Age]]&gt;=60,Table1_1[[#This Row],[Insurance Status]]="Insured"),"senior Eligible","Not Eligible")</f>
        <v>Not Eligible</v>
      </c>
      <c r="P37" t="str">
        <f>IF(OR(Table1_1[[#This Row],[Treatment Cost]]&gt;=20000,Table1_1[[#This Row],[Room Type]]="ICU"),"High Cost","Normal Cost")</f>
        <v>High Cost</v>
      </c>
      <c r="Q37" t="str">
        <f>IF(Table1_1[[#This Row],[Age]]&lt;=18,"Child",IF(Table1_1[[#This Row],[Age]]&lt;=59,"Adult",IF(Table1_1[[#This Row],[Age]]&gt;=60,"Senior")))</f>
        <v>Senior</v>
      </c>
    </row>
    <row r="38" spans="1:17" x14ac:dyDescent="0.25">
      <c r="A38" t="s">
        <v>75</v>
      </c>
      <c r="B38" t="s">
        <v>359</v>
      </c>
      <c r="C38" t="s">
        <v>56</v>
      </c>
      <c r="D38">
        <v>82</v>
      </c>
      <c r="E38" t="s">
        <v>47</v>
      </c>
      <c r="F38" t="s">
        <v>379</v>
      </c>
      <c r="G38" t="s">
        <v>356</v>
      </c>
      <c r="H38" s="2">
        <v>46034</v>
      </c>
      <c r="I38" s="2">
        <v>46043</v>
      </c>
      <c r="J38" t="s">
        <v>357</v>
      </c>
      <c r="K38" t="s">
        <v>21</v>
      </c>
      <c r="L38">
        <v>25179</v>
      </c>
      <c r="M38" t="s">
        <v>354</v>
      </c>
      <c r="N38" t="s">
        <v>39</v>
      </c>
      <c r="O38" t="str">
        <f>IF(AND(Table1_1[[#This Row],[Age]]&gt;=60,Table1_1[[#This Row],[Insurance Status]]="Insured"),"senior Eligible","Not Eligible")</f>
        <v>Not Eligible</v>
      </c>
      <c r="P38" t="str">
        <f>IF(OR(Table1_1[[#This Row],[Treatment Cost]]&gt;=20000,Table1_1[[#This Row],[Room Type]]="ICU"),"High Cost","Normal Cost")</f>
        <v>High Cost</v>
      </c>
      <c r="Q38" t="str">
        <f>IF(Table1_1[[#This Row],[Age]]&lt;=18,"Child",IF(Table1_1[[#This Row],[Age]]&lt;=59,"Adult",IF(Table1_1[[#This Row],[Age]]&gt;=60,"Senior")))</f>
        <v>Senior</v>
      </c>
    </row>
    <row r="39" spans="1:17" x14ac:dyDescent="0.25">
      <c r="A39" t="s">
        <v>198</v>
      </c>
      <c r="B39" t="s">
        <v>361</v>
      </c>
      <c r="C39" t="s">
        <v>56</v>
      </c>
      <c r="D39">
        <v>33</v>
      </c>
      <c r="E39" t="s">
        <v>47</v>
      </c>
      <c r="F39" t="s">
        <v>379</v>
      </c>
      <c r="G39" t="s">
        <v>356</v>
      </c>
      <c r="H39" s="2">
        <v>46075</v>
      </c>
      <c r="I39" s="2">
        <v>46077</v>
      </c>
      <c r="J39" t="s">
        <v>362</v>
      </c>
      <c r="K39" t="s">
        <v>21</v>
      </c>
      <c r="L39">
        <v>23924</v>
      </c>
      <c r="M39" t="s">
        <v>358</v>
      </c>
      <c r="N39" t="s">
        <v>39</v>
      </c>
      <c r="O39" t="str">
        <f>IF(AND(Table1_1[[#This Row],[Age]]&gt;=60,Table1_1[[#This Row],[Insurance Status]]="Insured"),"senior Eligible","Not Eligible")</f>
        <v>Not Eligible</v>
      </c>
      <c r="P39" t="str">
        <f>IF(OR(Table1_1[[#This Row],[Treatment Cost]]&gt;=20000,Table1_1[[#This Row],[Room Type]]="ICU"),"High Cost","Normal Cost")</f>
        <v>High Cost</v>
      </c>
      <c r="Q39" t="str">
        <f>IF(Table1_1[[#This Row],[Age]]&lt;=18,"Child",IF(Table1_1[[#This Row],[Age]]&lt;=59,"Adult",IF(Table1_1[[#This Row],[Age]]&gt;=60,"Senior")))</f>
        <v>Adult</v>
      </c>
    </row>
    <row r="40" spans="1:17" x14ac:dyDescent="0.25">
      <c r="A40" t="s">
        <v>301</v>
      </c>
      <c r="B40" t="s">
        <v>355</v>
      </c>
      <c r="C40" t="s">
        <v>41</v>
      </c>
      <c r="D40">
        <v>81</v>
      </c>
      <c r="E40" t="s">
        <v>35</v>
      </c>
      <c r="F40" t="s">
        <v>379</v>
      </c>
      <c r="G40" t="s">
        <v>352</v>
      </c>
      <c r="H40" s="2">
        <v>46173</v>
      </c>
      <c r="I40" s="2">
        <v>46178</v>
      </c>
      <c r="J40" t="s">
        <v>353</v>
      </c>
      <c r="K40" t="s">
        <v>48</v>
      </c>
      <c r="L40">
        <v>22604</v>
      </c>
      <c r="M40" t="s">
        <v>358</v>
      </c>
      <c r="N40" t="s">
        <v>44</v>
      </c>
      <c r="O40" t="str">
        <f>IF(AND(Table1_1[[#This Row],[Age]]&gt;=60,Table1_1[[#This Row],[Insurance Status]]="Insured"),"senior Eligible","Not Eligible")</f>
        <v>senior Eligible</v>
      </c>
      <c r="P40" t="str">
        <f>IF(OR(Table1_1[[#This Row],[Treatment Cost]]&gt;=20000,Table1_1[[#This Row],[Room Type]]="ICU"),"High Cost","Normal Cost")</f>
        <v>High Cost</v>
      </c>
      <c r="Q40" t="str">
        <f>IF(Table1_1[[#This Row],[Age]]&lt;=18,"Child",IF(Table1_1[[#This Row],[Age]]&lt;=59,"Adult",IF(Table1_1[[#This Row],[Age]]&gt;=60,"Senior")))</f>
        <v>Senior</v>
      </c>
    </row>
    <row r="41" spans="1:17" x14ac:dyDescent="0.25">
      <c r="A41" t="s">
        <v>289</v>
      </c>
      <c r="B41" t="s">
        <v>355</v>
      </c>
      <c r="C41" t="s">
        <v>41</v>
      </c>
      <c r="D41">
        <v>62</v>
      </c>
      <c r="E41" t="s">
        <v>35</v>
      </c>
      <c r="F41" t="s">
        <v>379</v>
      </c>
      <c r="G41" t="s">
        <v>356</v>
      </c>
      <c r="H41" s="2">
        <v>46045</v>
      </c>
      <c r="I41" s="2">
        <v>46052</v>
      </c>
      <c r="J41" t="s">
        <v>353</v>
      </c>
      <c r="K41" t="s">
        <v>31</v>
      </c>
      <c r="L41">
        <v>22592</v>
      </c>
      <c r="M41" t="s">
        <v>358</v>
      </c>
      <c r="N41" t="s">
        <v>23</v>
      </c>
      <c r="O41" t="str">
        <f>IF(AND(Table1_1[[#This Row],[Age]]&gt;=60,Table1_1[[#This Row],[Insurance Status]]="Insured"),"senior Eligible","Not Eligible")</f>
        <v>senior Eligible</v>
      </c>
      <c r="P41" t="str">
        <f>IF(OR(Table1_1[[#This Row],[Treatment Cost]]&gt;=20000,Table1_1[[#This Row],[Room Type]]="ICU"),"High Cost","Normal Cost")</f>
        <v>High Cost</v>
      </c>
      <c r="Q41" t="str">
        <f>IF(Table1_1[[#This Row],[Age]]&lt;=18,"Child",IF(Table1_1[[#This Row],[Age]]&lt;=59,"Adult",IF(Table1_1[[#This Row],[Age]]&gt;=60,"Senior")))</f>
        <v>Senior</v>
      </c>
    </row>
    <row r="42" spans="1:17" x14ac:dyDescent="0.25">
      <c r="A42" t="s">
        <v>230</v>
      </c>
      <c r="B42" t="s">
        <v>355</v>
      </c>
      <c r="C42" t="s">
        <v>56</v>
      </c>
      <c r="D42">
        <v>23</v>
      </c>
      <c r="E42" t="s">
        <v>17</v>
      </c>
      <c r="F42" t="s">
        <v>379</v>
      </c>
      <c r="G42" t="s">
        <v>352</v>
      </c>
      <c r="H42" s="2">
        <v>46121</v>
      </c>
      <c r="I42" s="2">
        <v>46131</v>
      </c>
      <c r="J42" t="s">
        <v>353</v>
      </c>
      <c r="K42" t="s">
        <v>31</v>
      </c>
      <c r="L42">
        <v>22263</v>
      </c>
      <c r="M42" t="s">
        <v>354</v>
      </c>
      <c r="N42" t="s">
        <v>44</v>
      </c>
      <c r="O42" t="str">
        <f>IF(AND(Table1_1[[#This Row],[Age]]&gt;=60,Table1_1[[#This Row],[Insurance Status]]="Insured"),"senior Eligible","Not Eligible")</f>
        <v>Not Eligible</v>
      </c>
      <c r="P42" t="str">
        <f>IF(OR(Table1_1[[#This Row],[Treatment Cost]]&gt;=20000,Table1_1[[#This Row],[Room Type]]="ICU"),"High Cost","Normal Cost")</f>
        <v>High Cost</v>
      </c>
      <c r="Q42" t="str">
        <f>IF(Table1_1[[#This Row],[Age]]&lt;=18,"Child",IF(Table1_1[[#This Row],[Age]]&lt;=59,"Adult",IF(Table1_1[[#This Row],[Age]]&gt;=60,"Senior")))</f>
        <v>Adult</v>
      </c>
    </row>
    <row r="43" spans="1:17" x14ac:dyDescent="0.25">
      <c r="A43" t="s">
        <v>197</v>
      </c>
      <c r="B43" t="s">
        <v>351</v>
      </c>
      <c r="C43" t="s">
        <v>41</v>
      </c>
      <c r="D43">
        <v>61</v>
      </c>
      <c r="E43" t="s">
        <v>27</v>
      </c>
      <c r="F43" t="s">
        <v>379</v>
      </c>
      <c r="G43" t="s">
        <v>356</v>
      </c>
      <c r="H43" s="2">
        <v>46127</v>
      </c>
      <c r="I43" s="2">
        <v>46132</v>
      </c>
      <c r="J43" t="s">
        <v>362</v>
      </c>
      <c r="K43" t="s">
        <v>21</v>
      </c>
      <c r="L43">
        <v>22142</v>
      </c>
      <c r="M43" t="s">
        <v>354</v>
      </c>
      <c r="N43" t="s">
        <v>39</v>
      </c>
      <c r="O43" t="str">
        <f>IF(AND(Table1_1[[#This Row],[Age]]&gt;=60,Table1_1[[#This Row],[Insurance Status]]="Insured"),"senior Eligible","Not Eligible")</f>
        <v>Not Eligible</v>
      </c>
      <c r="P43" t="str">
        <f>IF(OR(Table1_1[[#This Row],[Treatment Cost]]&gt;=20000,Table1_1[[#This Row],[Room Type]]="ICU"),"High Cost","Normal Cost")</f>
        <v>High Cost</v>
      </c>
      <c r="Q43" t="str">
        <f>IF(Table1_1[[#This Row],[Age]]&lt;=18,"Child",IF(Table1_1[[#This Row],[Age]]&lt;=59,"Adult",IF(Table1_1[[#This Row],[Age]]&gt;=60,"Senior")))</f>
        <v>Senior</v>
      </c>
    </row>
    <row r="44" spans="1:17" x14ac:dyDescent="0.25">
      <c r="A44" t="s">
        <v>268</v>
      </c>
      <c r="B44" t="s">
        <v>351</v>
      </c>
      <c r="C44" t="s">
        <v>41</v>
      </c>
      <c r="D44">
        <v>36</v>
      </c>
      <c r="E44" t="s">
        <v>47</v>
      </c>
      <c r="F44" t="s">
        <v>379</v>
      </c>
      <c r="G44" t="s">
        <v>356</v>
      </c>
      <c r="H44" s="2">
        <v>46092</v>
      </c>
      <c r="I44" s="2">
        <v>46093</v>
      </c>
      <c r="J44" t="s">
        <v>357</v>
      </c>
      <c r="K44" t="s">
        <v>21</v>
      </c>
      <c r="L44">
        <v>22065</v>
      </c>
      <c r="M44" t="s">
        <v>358</v>
      </c>
      <c r="N44" t="s">
        <v>44</v>
      </c>
      <c r="O44" t="str">
        <f>IF(AND(Table1_1[[#This Row],[Age]]&gt;=60,Table1_1[[#This Row],[Insurance Status]]="Insured"),"senior Eligible","Not Eligible")</f>
        <v>Not Eligible</v>
      </c>
      <c r="P44" t="str">
        <f>IF(OR(Table1_1[[#This Row],[Treatment Cost]]&gt;=20000,Table1_1[[#This Row],[Room Type]]="ICU"),"High Cost","Normal Cost")</f>
        <v>High Cost</v>
      </c>
      <c r="Q44" t="str">
        <f>IF(Table1_1[[#This Row],[Age]]&lt;=18,"Child",IF(Table1_1[[#This Row],[Age]]&lt;=59,"Adult",IF(Table1_1[[#This Row],[Age]]&gt;=60,"Senior")))</f>
        <v>Adult</v>
      </c>
    </row>
    <row r="45" spans="1:17" x14ac:dyDescent="0.25">
      <c r="A45" t="s">
        <v>330</v>
      </c>
      <c r="B45" t="s">
        <v>359</v>
      </c>
      <c r="C45" t="s">
        <v>56</v>
      </c>
      <c r="D45">
        <v>26</v>
      </c>
      <c r="E45" t="s">
        <v>17</v>
      </c>
      <c r="F45" t="s">
        <v>379</v>
      </c>
      <c r="G45" t="s">
        <v>356</v>
      </c>
      <c r="H45" s="2">
        <v>46098</v>
      </c>
      <c r="I45" s="2">
        <v>46104</v>
      </c>
      <c r="J45" t="s">
        <v>357</v>
      </c>
      <c r="K45" t="s">
        <v>31</v>
      </c>
      <c r="L45">
        <v>21666</v>
      </c>
      <c r="M45" t="s">
        <v>358</v>
      </c>
      <c r="N45" t="s">
        <v>44</v>
      </c>
      <c r="O45" t="str">
        <f>IF(AND(Table1_1[[#This Row],[Age]]&gt;=60,Table1_1[[#This Row],[Insurance Status]]="Insured"),"senior Eligible","Not Eligible")</f>
        <v>Not Eligible</v>
      </c>
      <c r="P45" t="str">
        <f>IF(OR(Table1_1[[#This Row],[Treatment Cost]]&gt;=20000,Table1_1[[#This Row],[Room Type]]="ICU"),"High Cost","Normal Cost")</f>
        <v>High Cost</v>
      </c>
      <c r="Q45" t="str">
        <f>IF(Table1_1[[#This Row],[Age]]&lt;=18,"Child",IF(Table1_1[[#This Row],[Age]]&lt;=59,"Adult",IF(Table1_1[[#This Row],[Age]]&gt;=60,"Senior")))</f>
        <v>Adult</v>
      </c>
    </row>
    <row r="46" spans="1:17" x14ac:dyDescent="0.25">
      <c r="A46" t="s">
        <v>191</v>
      </c>
      <c r="B46" t="s">
        <v>355</v>
      </c>
      <c r="C46" t="s">
        <v>56</v>
      </c>
      <c r="D46">
        <v>28</v>
      </c>
      <c r="E46" t="s">
        <v>27</v>
      </c>
      <c r="F46" t="s">
        <v>379</v>
      </c>
      <c r="G46" t="s">
        <v>352</v>
      </c>
      <c r="H46" s="2">
        <v>46178</v>
      </c>
      <c r="I46" s="2">
        <v>46186</v>
      </c>
      <c r="J46" t="s">
        <v>357</v>
      </c>
      <c r="K46" t="s">
        <v>21</v>
      </c>
      <c r="L46">
        <v>21103</v>
      </c>
      <c r="M46" t="s">
        <v>354</v>
      </c>
      <c r="N46" t="s">
        <v>23</v>
      </c>
      <c r="O46" t="str">
        <f>IF(AND(Table1_1[[#This Row],[Age]]&gt;=60,Table1_1[[#This Row],[Insurance Status]]="Insured"),"senior Eligible","Not Eligible")</f>
        <v>Not Eligible</v>
      </c>
      <c r="P46" t="str">
        <f>IF(OR(Table1_1[[#This Row],[Treatment Cost]]&gt;=20000,Table1_1[[#This Row],[Room Type]]="ICU"),"High Cost","Normal Cost")</f>
        <v>High Cost</v>
      </c>
      <c r="Q46" t="str">
        <f>IF(Table1_1[[#This Row],[Age]]&lt;=18,"Child",IF(Table1_1[[#This Row],[Age]]&lt;=59,"Adult",IF(Table1_1[[#This Row],[Age]]&gt;=60,"Senior")))</f>
        <v>Adult</v>
      </c>
    </row>
    <row r="47" spans="1:17" x14ac:dyDescent="0.25">
      <c r="A47" t="s">
        <v>14</v>
      </c>
      <c r="B47" t="s">
        <v>351</v>
      </c>
      <c r="C47" t="s">
        <v>41</v>
      </c>
      <c r="D47">
        <v>39</v>
      </c>
      <c r="E47" t="s">
        <v>17</v>
      </c>
      <c r="F47" t="s">
        <v>379</v>
      </c>
      <c r="G47" t="s">
        <v>352</v>
      </c>
      <c r="H47" s="2">
        <v>46065</v>
      </c>
      <c r="I47" s="2">
        <v>46071</v>
      </c>
      <c r="J47" t="s">
        <v>353</v>
      </c>
      <c r="K47" t="s">
        <v>21</v>
      </c>
      <c r="L47">
        <v>19537</v>
      </c>
      <c r="M47" t="s">
        <v>354</v>
      </c>
      <c r="N47" t="s">
        <v>23</v>
      </c>
      <c r="O47" t="str">
        <f>IF(AND(Table1_1[[#This Row],[Age]]&gt;=60,Table1_1[[#This Row],[Insurance Status]]="Insured"),"senior Eligible","Not Eligible")</f>
        <v>Not Eligible</v>
      </c>
      <c r="P47" t="str">
        <f>IF(OR(Table1_1[[#This Row],[Treatment Cost]]&gt;=20000,Table1_1[[#This Row],[Room Type]]="ICU"),"High Cost","Normal Cost")</f>
        <v>Normal Cost</v>
      </c>
      <c r="Q47" t="str">
        <f>IF(Table1_1[[#This Row],[Age]]&lt;=18,"Child",IF(Table1_1[[#This Row],[Age]]&lt;=59,"Adult",IF(Table1_1[[#This Row],[Age]]&gt;=60,"Senior")))</f>
        <v>Adult</v>
      </c>
    </row>
    <row r="48" spans="1:17" x14ac:dyDescent="0.25">
      <c r="A48" t="s">
        <v>105</v>
      </c>
      <c r="B48" t="s">
        <v>359</v>
      </c>
      <c r="C48" t="s">
        <v>41</v>
      </c>
      <c r="D48">
        <v>43</v>
      </c>
      <c r="E48" t="s">
        <v>17</v>
      </c>
      <c r="F48" t="s">
        <v>379</v>
      </c>
      <c r="G48" t="s">
        <v>360</v>
      </c>
      <c r="H48" s="2">
        <v>46145</v>
      </c>
      <c r="I48" s="2">
        <v>46151</v>
      </c>
      <c r="J48" t="s">
        <v>353</v>
      </c>
      <c r="K48" t="s">
        <v>37</v>
      </c>
      <c r="L48">
        <v>19513</v>
      </c>
      <c r="M48" t="s">
        <v>358</v>
      </c>
      <c r="N48" t="s">
        <v>44</v>
      </c>
      <c r="O48" t="str">
        <f>IF(AND(Table1_1[[#This Row],[Age]]&gt;=60,Table1_1[[#This Row],[Insurance Status]]="Insured"),"senior Eligible","Not Eligible")</f>
        <v>Not Eligible</v>
      </c>
      <c r="P48" t="str">
        <f>IF(OR(Table1_1[[#This Row],[Treatment Cost]]&gt;=20000,Table1_1[[#This Row],[Room Type]]="ICU"),"High Cost","Normal Cost")</f>
        <v>Normal Cost</v>
      </c>
      <c r="Q48" t="str">
        <f>IF(Table1_1[[#This Row],[Age]]&lt;=18,"Child",IF(Table1_1[[#This Row],[Age]]&lt;=59,"Adult",IF(Table1_1[[#This Row],[Age]]&gt;=60,"Senior")))</f>
        <v>Adult</v>
      </c>
    </row>
    <row r="49" spans="1:17" x14ac:dyDescent="0.25">
      <c r="A49" t="s">
        <v>340</v>
      </c>
      <c r="B49" t="s">
        <v>361</v>
      </c>
      <c r="C49" t="s">
        <v>41</v>
      </c>
      <c r="D49">
        <v>26</v>
      </c>
      <c r="E49" t="s">
        <v>35</v>
      </c>
      <c r="F49" t="s">
        <v>379</v>
      </c>
      <c r="G49" t="s">
        <v>352</v>
      </c>
      <c r="H49" s="2">
        <v>46071</v>
      </c>
      <c r="I49" s="2">
        <v>46073</v>
      </c>
      <c r="J49" t="s">
        <v>362</v>
      </c>
      <c r="K49" t="s">
        <v>21</v>
      </c>
      <c r="L49">
        <v>19102</v>
      </c>
      <c r="M49" t="s">
        <v>354</v>
      </c>
      <c r="N49" t="s">
        <v>23</v>
      </c>
      <c r="O49" t="str">
        <f>IF(AND(Table1_1[[#This Row],[Age]]&gt;=60,Table1_1[[#This Row],[Insurance Status]]="Insured"),"senior Eligible","Not Eligible")</f>
        <v>Not Eligible</v>
      </c>
      <c r="P49" t="str">
        <f>IF(OR(Table1_1[[#This Row],[Treatment Cost]]&gt;=20000,Table1_1[[#This Row],[Room Type]]="ICU"),"High Cost","Normal Cost")</f>
        <v>Normal Cost</v>
      </c>
      <c r="Q49" t="str">
        <f>IF(Table1_1[[#This Row],[Age]]&lt;=18,"Child",IF(Table1_1[[#This Row],[Age]]&lt;=59,"Adult",IF(Table1_1[[#This Row],[Age]]&gt;=60,"Senior")))</f>
        <v>Adult</v>
      </c>
    </row>
    <row r="50" spans="1:17" x14ac:dyDescent="0.25">
      <c r="A50" t="s">
        <v>304</v>
      </c>
      <c r="B50" t="s">
        <v>361</v>
      </c>
      <c r="C50" t="s">
        <v>56</v>
      </c>
      <c r="D50">
        <v>29</v>
      </c>
      <c r="E50" t="s">
        <v>35</v>
      </c>
      <c r="F50" t="s">
        <v>379</v>
      </c>
      <c r="G50" t="s">
        <v>360</v>
      </c>
      <c r="H50" s="2">
        <v>46203</v>
      </c>
      <c r="I50" s="2">
        <v>46213</v>
      </c>
      <c r="J50" t="s">
        <v>357</v>
      </c>
      <c r="K50" t="s">
        <v>37</v>
      </c>
      <c r="L50">
        <v>17814</v>
      </c>
      <c r="M50" t="s">
        <v>354</v>
      </c>
      <c r="N50" t="s">
        <v>23</v>
      </c>
      <c r="O50" t="str">
        <f>IF(AND(Table1_1[[#This Row],[Age]]&gt;=60,Table1_1[[#This Row],[Insurance Status]]="Insured"),"senior Eligible","Not Eligible")</f>
        <v>Not Eligible</v>
      </c>
      <c r="P50" t="str">
        <f>IF(OR(Table1_1[[#This Row],[Treatment Cost]]&gt;=20000,Table1_1[[#This Row],[Room Type]]="ICU"),"High Cost","Normal Cost")</f>
        <v>Normal Cost</v>
      </c>
      <c r="Q50" t="str">
        <f>IF(Table1_1[[#This Row],[Age]]&lt;=18,"Child",IF(Table1_1[[#This Row],[Age]]&lt;=59,"Adult",IF(Table1_1[[#This Row],[Age]]&gt;=60,"Senior")))</f>
        <v>Adult</v>
      </c>
    </row>
    <row r="51" spans="1:17" x14ac:dyDescent="0.25">
      <c r="A51" t="s">
        <v>311</v>
      </c>
      <c r="B51" t="s">
        <v>363</v>
      </c>
      <c r="C51" t="s">
        <v>56</v>
      </c>
      <c r="D51">
        <v>70</v>
      </c>
      <c r="E51" t="s">
        <v>35</v>
      </c>
      <c r="F51" t="s">
        <v>379</v>
      </c>
      <c r="G51" t="s">
        <v>352</v>
      </c>
      <c r="H51" s="2">
        <v>46097</v>
      </c>
      <c r="I51" s="2">
        <v>46101</v>
      </c>
      <c r="J51" t="s">
        <v>357</v>
      </c>
      <c r="K51" t="s">
        <v>48</v>
      </c>
      <c r="L51">
        <v>16598</v>
      </c>
      <c r="M51" t="s">
        <v>358</v>
      </c>
      <c r="N51" t="s">
        <v>44</v>
      </c>
      <c r="O51" t="str">
        <f>IF(AND(Table1_1[[#This Row],[Age]]&gt;=60,Table1_1[[#This Row],[Insurance Status]]="Insured"),"senior Eligible","Not Eligible")</f>
        <v>senior Eligible</v>
      </c>
      <c r="P51" t="str">
        <f>IF(OR(Table1_1[[#This Row],[Treatment Cost]]&gt;=20000,Table1_1[[#This Row],[Room Type]]="ICU"),"High Cost","Normal Cost")</f>
        <v>Normal Cost</v>
      </c>
      <c r="Q51" t="str">
        <f>IF(Table1_1[[#This Row],[Age]]&lt;=18,"Child",IF(Table1_1[[#This Row],[Age]]&lt;=59,"Adult",IF(Table1_1[[#This Row],[Age]]&gt;=60,"Senior")))</f>
        <v>Senior</v>
      </c>
    </row>
    <row r="52" spans="1:17" x14ac:dyDescent="0.25">
      <c r="A52" t="s">
        <v>164</v>
      </c>
      <c r="B52" t="s">
        <v>363</v>
      </c>
      <c r="C52" t="s">
        <v>56</v>
      </c>
      <c r="D52">
        <v>27</v>
      </c>
      <c r="E52" t="s">
        <v>47</v>
      </c>
      <c r="F52" t="s">
        <v>379</v>
      </c>
      <c r="G52" t="s">
        <v>54</v>
      </c>
      <c r="H52" s="2">
        <v>46137</v>
      </c>
      <c r="I52" s="2">
        <v>46143</v>
      </c>
      <c r="J52" t="s">
        <v>357</v>
      </c>
      <c r="K52" t="s">
        <v>48</v>
      </c>
      <c r="L52">
        <v>14800</v>
      </c>
      <c r="M52" t="s">
        <v>354</v>
      </c>
      <c r="N52" t="s">
        <v>44</v>
      </c>
      <c r="O52" t="str">
        <f>IF(AND(Table1_1[[#This Row],[Age]]&gt;=60,Table1_1[[#This Row],[Insurance Status]]="Insured"),"senior Eligible","Not Eligible")</f>
        <v>Not Eligible</v>
      </c>
      <c r="P52" t="str">
        <f>IF(OR(Table1_1[[#This Row],[Treatment Cost]]&gt;=20000,Table1_1[[#This Row],[Room Type]]="ICU"),"High Cost","Normal Cost")</f>
        <v>Normal Cost</v>
      </c>
      <c r="Q52" t="str">
        <f>IF(Table1_1[[#This Row],[Age]]&lt;=18,"Child",IF(Table1_1[[#This Row],[Age]]&lt;=59,"Adult",IF(Table1_1[[#This Row],[Age]]&gt;=60,"Senior")))</f>
        <v>Adult</v>
      </c>
    </row>
    <row r="53" spans="1:17" x14ac:dyDescent="0.25">
      <c r="A53" t="s">
        <v>123</v>
      </c>
      <c r="B53" t="s">
        <v>363</v>
      </c>
      <c r="C53" t="s">
        <v>41</v>
      </c>
      <c r="D53">
        <v>54</v>
      </c>
      <c r="E53" t="s">
        <v>27</v>
      </c>
      <c r="F53" t="s">
        <v>379</v>
      </c>
      <c r="G53" t="s">
        <v>356</v>
      </c>
      <c r="H53" s="2">
        <v>46137</v>
      </c>
      <c r="I53" s="2">
        <v>46138</v>
      </c>
      <c r="J53" t="s">
        <v>353</v>
      </c>
      <c r="K53" t="s">
        <v>37</v>
      </c>
      <c r="L53">
        <v>13758</v>
      </c>
      <c r="M53" t="s">
        <v>354</v>
      </c>
      <c r="N53" t="s">
        <v>39</v>
      </c>
      <c r="O53" t="str">
        <f>IF(AND(Table1_1[[#This Row],[Age]]&gt;=60,Table1_1[[#This Row],[Insurance Status]]="Insured"),"senior Eligible","Not Eligible")</f>
        <v>Not Eligible</v>
      </c>
      <c r="P53" t="str">
        <f>IF(OR(Table1_1[[#This Row],[Treatment Cost]]&gt;=20000,Table1_1[[#This Row],[Room Type]]="ICU"),"High Cost","Normal Cost")</f>
        <v>High Cost</v>
      </c>
      <c r="Q53" t="str">
        <f>IF(Table1_1[[#This Row],[Age]]&lt;=18,"Child",IF(Table1_1[[#This Row],[Age]]&lt;=59,"Adult",IF(Table1_1[[#This Row],[Age]]&gt;=60,"Senior")))</f>
        <v>Adult</v>
      </c>
    </row>
    <row r="54" spans="1:17" x14ac:dyDescent="0.25">
      <c r="A54" t="s">
        <v>344</v>
      </c>
      <c r="B54" t="s">
        <v>364</v>
      </c>
      <c r="C54" t="s">
        <v>41</v>
      </c>
      <c r="D54">
        <v>52</v>
      </c>
      <c r="E54" t="s">
        <v>35</v>
      </c>
      <c r="F54" t="s">
        <v>379</v>
      </c>
      <c r="G54" t="s">
        <v>352</v>
      </c>
      <c r="H54" s="2">
        <v>46190</v>
      </c>
      <c r="I54" s="2">
        <v>46198</v>
      </c>
      <c r="J54" t="s">
        <v>353</v>
      </c>
      <c r="K54" t="s">
        <v>31</v>
      </c>
      <c r="L54">
        <v>12484</v>
      </c>
      <c r="M54" t="s">
        <v>358</v>
      </c>
      <c r="N54" t="s">
        <v>39</v>
      </c>
      <c r="O54" t="str">
        <f>IF(AND(Table1_1[[#This Row],[Age]]&gt;=60,Table1_1[[#This Row],[Insurance Status]]="Insured"),"senior Eligible","Not Eligible")</f>
        <v>Not Eligible</v>
      </c>
      <c r="P54" t="str">
        <f>IF(OR(Table1_1[[#This Row],[Treatment Cost]]&gt;=20000,Table1_1[[#This Row],[Room Type]]="ICU"),"High Cost","Normal Cost")</f>
        <v>High Cost</v>
      </c>
      <c r="Q54" t="str">
        <f>IF(Table1_1[[#This Row],[Age]]&lt;=18,"Child",IF(Table1_1[[#This Row],[Age]]&lt;=59,"Adult",IF(Table1_1[[#This Row],[Age]]&gt;=60,"Senior")))</f>
        <v>Adult</v>
      </c>
    </row>
    <row r="55" spans="1:17" x14ac:dyDescent="0.25">
      <c r="A55" t="s">
        <v>134</v>
      </c>
      <c r="B55" t="s">
        <v>355</v>
      </c>
      <c r="C55" t="s">
        <v>56</v>
      </c>
      <c r="D55">
        <v>66</v>
      </c>
      <c r="E55" t="s">
        <v>35</v>
      </c>
      <c r="F55" t="s">
        <v>379</v>
      </c>
      <c r="G55" t="s">
        <v>356</v>
      </c>
      <c r="H55" s="2">
        <v>46176</v>
      </c>
      <c r="I55" s="2">
        <v>46185</v>
      </c>
      <c r="J55" t="s">
        <v>357</v>
      </c>
      <c r="K55" t="s">
        <v>48</v>
      </c>
      <c r="L55">
        <v>11986</v>
      </c>
      <c r="M55" t="s">
        <v>354</v>
      </c>
      <c r="N55" t="s">
        <v>39</v>
      </c>
      <c r="O55" t="str">
        <f>IF(AND(Table1_1[[#This Row],[Age]]&gt;=60,Table1_1[[#This Row],[Insurance Status]]="Insured"),"senior Eligible","Not Eligible")</f>
        <v>Not Eligible</v>
      </c>
      <c r="P55" t="str">
        <f>IF(OR(Table1_1[[#This Row],[Treatment Cost]]&gt;=20000,Table1_1[[#This Row],[Room Type]]="ICU"),"High Cost","Normal Cost")</f>
        <v>High Cost</v>
      </c>
      <c r="Q55" t="str">
        <f>IF(Table1_1[[#This Row],[Age]]&lt;=18,"Child",IF(Table1_1[[#This Row],[Age]]&lt;=59,"Adult",IF(Table1_1[[#This Row],[Age]]&gt;=60,"Senior")))</f>
        <v>Senior</v>
      </c>
    </row>
    <row r="56" spans="1:17" x14ac:dyDescent="0.25">
      <c r="A56" t="s">
        <v>217</v>
      </c>
      <c r="B56" t="s">
        <v>359</v>
      </c>
      <c r="C56" t="s">
        <v>56</v>
      </c>
      <c r="D56">
        <v>45</v>
      </c>
      <c r="E56" t="s">
        <v>17</v>
      </c>
      <c r="F56" t="s">
        <v>379</v>
      </c>
      <c r="G56" t="s">
        <v>54</v>
      </c>
      <c r="H56" s="2">
        <v>46044</v>
      </c>
      <c r="I56" s="2">
        <v>46054</v>
      </c>
      <c r="J56" t="s">
        <v>357</v>
      </c>
      <c r="K56" t="s">
        <v>21</v>
      </c>
      <c r="L56">
        <v>11028</v>
      </c>
      <c r="M56" t="s">
        <v>354</v>
      </c>
      <c r="N56" t="s">
        <v>39</v>
      </c>
      <c r="O56" t="str">
        <f>IF(AND(Table1_1[[#This Row],[Age]]&gt;=60,Table1_1[[#This Row],[Insurance Status]]="Insured"),"senior Eligible","Not Eligible")</f>
        <v>Not Eligible</v>
      </c>
      <c r="P56" t="str">
        <f>IF(OR(Table1_1[[#This Row],[Treatment Cost]]&gt;=20000,Table1_1[[#This Row],[Room Type]]="ICU"),"High Cost","Normal Cost")</f>
        <v>High Cost</v>
      </c>
      <c r="Q56" t="str">
        <f>IF(Table1_1[[#This Row],[Age]]&lt;=18,"Child",IF(Table1_1[[#This Row],[Age]]&lt;=59,"Adult",IF(Table1_1[[#This Row],[Age]]&gt;=60,"Senior")))</f>
        <v>Adult</v>
      </c>
    </row>
    <row r="57" spans="1:17" x14ac:dyDescent="0.25">
      <c r="A57" t="s">
        <v>177</v>
      </c>
      <c r="B57" t="s">
        <v>364</v>
      </c>
      <c r="C57" t="s">
        <v>41</v>
      </c>
      <c r="D57">
        <v>55</v>
      </c>
      <c r="E57" t="s">
        <v>17</v>
      </c>
      <c r="F57" t="s">
        <v>379</v>
      </c>
      <c r="G57" t="s">
        <v>54</v>
      </c>
      <c r="H57" s="2">
        <v>46195</v>
      </c>
      <c r="I57" s="2">
        <v>46204</v>
      </c>
      <c r="J57" t="s">
        <v>357</v>
      </c>
      <c r="K57" t="s">
        <v>48</v>
      </c>
      <c r="L57">
        <v>10999</v>
      </c>
      <c r="M57" t="s">
        <v>354</v>
      </c>
      <c r="N57" t="s">
        <v>44</v>
      </c>
      <c r="O57" t="str">
        <f>IF(AND(Table1_1[[#This Row],[Age]]&gt;=60,Table1_1[[#This Row],[Insurance Status]]="Insured"),"senior Eligible","Not Eligible")</f>
        <v>Not Eligible</v>
      </c>
      <c r="P57" t="str">
        <f>IF(OR(Table1_1[[#This Row],[Treatment Cost]]&gt;=20000,Table1_1[[#This Row],[Room Type]]="ICU"),"High Cost","Normal Cost")</f>
        <v>Normal Cost</v>
      </c>
      <c r="Q57" t="str">
        <f>IF(Table1_1[[#This Row],[Age]]&lt;=18,"Child",IF(Table1_1[[#This Row],[Age]]&lt;=59,"Adult",IF(Table1_1[[#This Row],[Age]]&gt;=60,"Senior")))</f>
        <v>Adult</v>
      </c>
    </row>
    <row r="58" spans="1:17" x14ac:dyDescent="0.25">
      <c r="A58" t="s">
        <v>154</v>
      </c>
      <c r="B58" t="s">
        <v>363</v>
      </c>
      <c r="C58" t="s">
        <v>56</v>
      </c>
      <c r="D58">
        <v>36</v>
      </c>
      <c r="E58" t="s">
        <v>17</v>
      </c>
      <c r="F58" t="s">
        <v>379</v>
      </c>
      <c r="G58" t="s">
        <v>356</v>
      </c>
      <c r="H58" s="2">
        <v>46173</v>
      </c>
      <c r="I58" s="2">
        <v>46177</v>
      </c>
      <c r="J58" t="s">
        <v>357</v>
      </c>
      <c r="K58" t="s">
        <v>37</v>
      </c>
      <c r="L58">
        <v>10614</v>
      </c>
      <c r="M58" t="s">
        <v>354</v>
      </c>
      <c r="N58" t="s">
        <v>23</v>
      </c>
      <c r="O58" t="str">
        <f>IF(AND(Table1_1[[#This Row],[Age]]&gt;=60,Table1_1[[#This Row],[Insurance Status]]="Insured"),"senior Eligible","Not Eligible")</f>
        <v>Not Eligible</v>
      </c>
      <c r="P58" t="str">
        <f>IF(OR(Table1_1[[#This Row],[Treatment Cost]]&gt;=20000,Table1_1[[#This Row],[Room Type]]="ICU"),"High Cost","Normal Cost")</f>
        <v>Normal Cost</v>
      </c>
      <c r="Q58" t="str">
        <f>IF(Table1_1[[#This Row],[Age]]&lt;=18,"Child",IF(Table1_1[[#This Row],[Age]]&lt;=59,"Adult",IF(Table1_1[[#This Row],[Age]]&gt;=60,"Senior")))</f>
        <v>Adult</v>
      </c>
    </row>
    <row r="59" spans="1:17" x14ac:dyDescent="0.25">
      <c r="A59" t="s">
        <v>112</v>
      </c>
      <c r="B59" t="s">
        <v>351</v>
      </c>
      <c r="C59" t="s">
        <v>41</v>
      </c>
      <c r="D59">
        <v>25</v>
      </c>
      <c r="E59" t="s">
        <v>47</v>
      </c>
      <c r="F59" t="s">
        <v>379</v>
      </c>
      <c r="G59" t="s">
        <v>54</v>
      </c>
      <c r="H59" s="2">
        <v>46101</v>
      </c>
      <c r="I59" s="2">
        <v>46104</v>
      </c>
      <c r="J59" t="s">
        <v>357</v>
      </c>
      <c r="K59" t="s">
        <v>48</v>
      </c>
      <c r="L59">
        <v>10584</v>
      </c>
      <c r="M59" t="s">
        <v>358</v>
      </c>
      <c r="N59" t="s">
        <v>39</v>
      </c>
      <c r="O59" t="str">
        <f>IF(AND(Table1_1[[#This Row],[Age]]&gt;=60,Table1_1[[#This Row],[Insurance Status]]="Insured"),"senior Eligible","Not Eligible")</f>
        <v>Not Eligible</v>
      </c>
      <c r="P59" t="str">
        <f>IF(OR(Table1_1[[#This Row],[Treatment Cost]]&gt;=20000,Table1_1[[#This Row],[Room Type]]="ICU"),"High Cost","Normal Cost")</f>
        <v>High Cost</v>
      </c>
      <c r="Q59" t="str">
        <f>IF(Table1_1[[#This Row],[Age]]&lt;=18,"Child",IF(Table1_1[[#This Row],[Age]]&lt;=59,"Adult",IF(Table1_1[[#This Row],[Age]]&gt;=60,"Senior")))</f>
        <v>Adult</v>
      </c>
    </row>
    <row r="60" spans="1:17" x14ac:dyDescent="0.25">
      <c r="A60" t="s">
        <v>180</v>
      </c>
      <c r="B60" t="s">
        <v>351</v>
      </c>
      <c r="C60" t="s">
        <v>56</v>
      </c>
      <c r="D60">
        <v>82</v>
      </c>
      <c r="E60" t="s">
        <v>17</v>
      </c>
      <c r="F60" t="s">
        <v>379</v>
      </c>
      <c r="G60" t="s">
        <v>360</v>
      </c>
      <c r="H60" s="2">
        <v>46077</v>
      </c>
      <c r="I60" s="2">
        <v>46084</v>
      </c>
      <c r="J60" t="s">
        <v>353</v>
      </c>
      <c r="K60" t="s">
        <v>48</v>
      </c>
      <c r="L60">
        <v>9276</v>
      </c>
      <c r="M60" t="s">
        <v>358</v>
      </c>
      <c r="N60" t="s">
        <v>39</v>
      </c>
      <c r="O60" t="str">
        <f>IF(AND(Table1_1[[#This Row],[Age]]&gt;=60,Table1_1[[#This Row],[Insurance Status]]="Insured"),"senior Eligible","Not Eligible")</f>
        <v>senior Eligible</v>
      </c>
      <c r="P60" t="str">
        <f>IF(OR(Table1_1[[#This Row],[Treatment Cost]]&gt;=20000,Table1_1[[#This Row],[Room Type]]="ICU"),"High Cost","Normal Cost")</f>
        <v>High Cost</v>
      </c>
      <c r="Q60" t="str">
        <f>IF(Table1_1[[#This Row],[Age]]&lt;=18,"Child",IF(Table1_1[[#This Row],[Age]]&lt;=59,"Adult",IF(Table1_1[[#This Row],[Age]]&gt;=60,"Senior")))</f>
        <v>Senior</v>
      </c>
    </row>
    <row r="61" spans="1:17" x14ac:dyDescent="0.25">
      <c r="A61" t="s">
        <v>166</v>
      </c>
      <c r="B61" t="s">
        <v>355</v>
      </c>
      <c r="C61" t="s">
        <v>41</v>
      </c>
      <c r="D61">
        <v>67</v>
      </c>
      <c r="E61" t="s">
        <v>35</v>
      </c>
      <c r="F61" t="s">
        <v>379</v>
      </c>
      <c r="G61" t="s">
        <v>356</v>
      </c>
      <c r="H61" s="2">
        <v>46027</v>
      </c>
      <c r="I61" s="2">
        <v>46037</v>
      </c>
      <c r="J61" t="s">
        <v>357</v>
      </c>
      <c r="K61" t="s">
        <v>31</v>
      </c>
      <c r="L61">
        <v>7745</v>
      </c>
      <c r="M61" t="s">
        <v>354</v>
      </c>
      <c r="N61" t="s">
        <v>44</v>
      </c>
      <c r="O61" t="str">
        <f>IF(AND(Table1_1[[#This Row],[Age]]&gt;=60,Table1_1[[#This Row],[Insurance Status]]="Insured"),"senior Eligible","Not Eligible")</f>
        <v>Not Eligible</v>
      </c>
      <c r="P61" t="str">
        <f>IF(OR(Table1_1[[#This Row],[Treatment Cost]]&gt;=20000,Table1_1[[#This Row],[Room Type]]="ICU"),"High Cost","Normal Cost")</f>
        <v>Normal Cost</v>
      </c>
      <c r="Q61" t="str">
        <f>IF(Table1_1[[#This Row],[Age]]&lt;=18,"Child",IF(Table1_1[[#This Row],[Age]]&lt;=59,"Adult",IF(Table1_1[[#This Row],[Age]]&gt;=60,"Senior")))</f>
        <v>Senior</v>
      </c>
    </row>
    <row r="62" spans="1:17" x14ac:dyDescent="0.25">
      <c r="A62" t="s">
        <v>145</v>
      </c>
      <c r="B62" t="s">
        <v>361</v>
      </c>
      <c r="C62" t="s">
        <v>41</v>
      </c>
      <c r="D62">
        <v>42</v>
      </c>
      <c r="E62" t="s">
        <v>47</v>
      </c>
      <c r="F62" t="s">
        <v>379</v>
      </c>
      <c r="G62" t="s">
        <v>360</v>
      </c>
      <c r="H62" s="2">
        <v>46131</v>
      </c>
      <c r="I62" s="2">
        <v>46138</v>
      </c>
      <c r="J62" t="s">
        <v>353</v>
      </c>
      <c r="K62" t="s">
        <v>48</v>
      </c>
      <c r="L62">
        <v>7730</v>
      </c>
      <c r="M62" t="s">
        <v>358</v>
      </c>
      <c r="N62" t="s">
        <v>23</v>
      </c>
      <c r="O62" t="str">
        <f>IF(AND(Table1_1[[#This Row],[Age]]&gt;=60,Table1_1[[#This Row],[Insurance Status]]="Insured"),"senior Eligible","Not Eligible")</f>
        <v>Not Eligible</v>
      </c>
      <c r="P62" t="str">
        <f>IF(OR(Table1_1[[#This Row],[Treatment Cost]]&gt;=20000,Table1_1[[#This Row],[Room Type]]="ICU"),"High Cost","Normal Cost")</f>
        <v>Normal Cost</v>
      </c>
      <c r="Q62" t="str">
        <f>IF(Table1_1[[#This Row],[Age]]&lt;=18,"Child",IF(Table1_1[[#This Row],[Age]]&lt;=59,"Adult",IF(Table1_1[[#This Row],[Age]]&gt;=60,"Senior")))</f>
        <v>Adult</v>
      </c>
    </row>
    <row r="63" spans="1:17" x14ac:dyDescent="0.25">
      <c r="A63" t="s">
        <v>74</v>
      </c>
      <c r="B63" t="s">
        <v>361</v>
      </c>
      <c r="C63" t="s">
        <v>41</v>
      </c>
      <c r="D63">
        <v>74</v>
      </c>
      <c r="E63" t="s">
        <v>17</v>
      </c>
      <c r="F63" t="s">
        <v>379</v>
      </c>
      <c r="G63" t="s">
        <v>352</v>
      </c>
      <c r="H63" s="2">
        <v>46072</v>
      </c>
      <c r="I63" s="2">
        <v>46078</v>
      </c>
      <c r="J63" t="s">
        <v>357</v>
      </c>
      <c r="K63" t="s">
        <v>31</v>
      </c>
      <c r="L63">
        <v>7204</v>
      </c>
      <c r="M63" t="s">
        <v>358</v>
      </c>
      <c r="N63" t="s">
        <v>23</v>
      </c>
      <c r="O63" t="str">
        <f>IF(AND(Table1_1[[#This Row],[Age]]&gt;=60,Table1_1[[#This Row],[Insurance Status]]="Insured"),"senior Eligible","Not Eligible")</f>
        <v>senior Eligible</v>
      </c>
      <c r="P63" t="str">
        <f>IF(OR(Table1_1[[#This Row],[Treatment Cost]]&gt;=20000,Table1_1[[#This Row],[Room Type]]="ICU"),"High Cost","Normal Cost")</f>
        <v>Normal Cost</v>
      </c>
      <c r="Q63" t="str">
        <f>IF(Table1_1[[#This Row],[Age]]&lt;=18,"Child",IF(Table1_1[[#This Row],[Age]]&lt;=59,"Adult",IF(Table1_1[[#This Row],[Age]]&gt;=60,"Senior")))</f>
        <v>Senior</v>
      </c>
    </row>
    <row r="64" spans="1:17" x14ac:dyDescent="0.25">
      <c r="A64" t="s">
        <v>193</v>
      </c>
      <c r="B64" t="s">
        <v>359</v>
      </c>
      <c r="C64" t="s">
        <v>41</v>
      </c>
      <c r="D64">
        <v>32</v>
      </c>
      <c r="E64" t="s">
        <v>27</v>
      </c>
      <c r="F64" t="s">
        <v>379</v>
      </c>
      <c r="G64" t="s">
        <v>54</v>
      </c>
      <c r="H64" s="2">
        <v>46053</v>
      </c>
      <c r="I64" s="2">
        <v>46058</v>
      </c>
      <c r="J64" t="s">
        <v>362</v>
      </c>
      <c r="K64" t="s">
        <v>48</v>
      </c>
      <c r="L64">
        <v>7095</v>
      </c>
      <c r="M64" t="s">
        <v>358</v>
      </c>
      <c r="N64" t="s">
        <v>44</v>
      </c>
      <c r="O64" t="str">
        <f>IF(AND(Table1_1[[#This Row],[Age]]&gt;=60,Table1_1[[#This Row],[Insurance Status]]="Insured"),"senior Eligible","Not Eligible")</f>
        <v>Not Eligible</v>
      </c>
      <c r="P64" t="str">
        <f>IF(OR(Table1_1[[#This Row],[Treatment Cost]]&gt;=20000,Table1_1[[#This Row],[Room Type]]="ICU"),"High Cost","Normal Cost")</f>
        <v>Normal Cost</v>
      </c>
      <c r="Q64" t="str">
        <f>IF(Table1_1[[#This Row],[Age]]&lt;=18,"Child",IF(Table1_1[[#This Row],[Age]]&lt;=59,"Adult",IF(Table1_1[[#This Row],[Age]]&gt;=60,"Senior")))</f>
        <v>Adult</v>
      </c>
    </row>
    <row r="65" spans="1:17" x14ac:dyDescent="0.25">
      <c r="A65" t="s">
        <v>127</v>
      </c>
      <c r="B65" t="s">
        <v>351</v>
      </c>
      <c r="C65" t="s">
        <v>41</v>
      </c>
      <c r="D65">
        <v>59</v>
      </c>
      <c r="E65" t="s">
        <v>17</v>
      </c>
      <c r="F65" t="s">
        <v>379</v>
      </c>
      <c r="G65" t="s">
        <v>54</v>
      </c>
      <c r="H65" s="2">
        <v>46089</v>
      </c>
      <c r="I65" s="2">
        <v>46096</v>
      </c>
      <c r="J65" t="s">
        <v>357</v>
      </c>
      <c r="K65" t="s">
        <v>37</v>
      </c>
      <c r="L65">
        <v>6245</v>
      </c>
      <c r="M65" t="s">
        <v>354</v>
      </c>
      <c r="N65" t="s">
        <v>23</v>
      </c>
      <c r="O65" t="str">
        <f>IF(AND(Table1_1[[#This Row],[Age]]&gt;=60,Table1_1[[#This Row],[Insurance Status]]="Insured"),"senior Eligible","Not Eligible")</f>
        <v>Not Eligible</v>
      </c>
      <c r="P65" t="str">
        <f>IF(OR(Table1_1[[#This Row],[Treatment Cost]]&gt;=20000,Table1_1[[#This Row],[Room Type]]="ICU"),"High Cost","Normal Cost")</f>
        <v>Normal Cost</v>
      </c>
      <c r="Q65" t="str">
        <f>IF(Table1_1[[#This Row],[Age]]&lt;=18,"Child",IF(Table1_1[[#This Row],[Age]]&lt;=59,"Adult",IF(Table1_1[[#This Row],[Age]]&gt;=60,"Senior")))</f>
        <v>Adult</v>
      </c>
    </row>
    <row r="66" spans="1:17" x14ac:dyDescent="0.25">
      <c r="A66" t="s">
        <v>196</v>
      </c>
      <c r="B66" t="s">
        <v>359</v>
      </c>
      <c r="C66" t="s">
        <v>56</v>
      </c>
      <c r="D66">
        <v>23</v>
      </c>
      <c r="E66" t="s">
        <v>17</v>
      </c>
      <c r="F66" t="s">
        <v>379</v>
      </c>
      <c r="G66" t="s">
        <v>352</v>
      </c>
      <c r="H66" s="2">
        <v>46029</v>
      </c>
      <c r="I66" s="2">
        <v>46038</v>
      </c>
      <c r="J66" t="s">
        <v>357</v>
      </c>
      <c r="K66" t="s">
        <v>48</v>
      </c>
      <c r="L66">
        <v>6052</v>
      </c>
      <c r="M66" t="s">
        <v>358</v>
      </c>
      <c r="N66" t="s">
        <v>44</v>
      </c>
      <c r="O66" t="str">
        <f>IF(AND(Table1_1[[#This Row],[Age]]&gt;=60,Table1_1[[#This Row],[Insurance Status]]="Insured"),"senior Eligible","Not Eligible")</f>
        <v>Not Eligible</v>
      </c>
      <c r="P66" t="str">
        <f>IF(OR(Table1_1[[#This Row],[Treatment Cost]]&gt;=20000,Table1_1[[#This Row],[Room Type]]="ICU"),"High Cost","Normal Cost")</f>
        <v>Normal Cost</v>
      </c>
      <c r="Q66" t="str">
        <f>IF(Table1_1[[#This Row],[Age]]&lt;=18,"Child",IF(Table1_1[[#This Row],[Age]]&lt;=59,"Adult",IF(Table1_1[[#This Row],[Age]]&gt;=60,"Senior")))</f>
        <v>Adult</v>
      </c>
    </row>
    <row r="67" spans="1:17" x14ac:dyDescent="0.25">
      <c r="A67" t="s">
        <v>327</v>
      </c>
      <c r="B67" t="s">
        <v>363</v>
      </c>
      <c r="C67" t="s">
        <v>41</v>
      </c>
      <c r="D67">
        <v>22</v>
      </c>
      <c r="E67" t="s">
        <v>47</v>
      </c>
      <c r="F67" t="s">
        <v>379</v>
      </c>
      <c r="G67" t="s">
        <v>352</v>
      </c>
      <c r="H67" s="2">
        <v>46116</v>
      </c>
      <c r="I67" s="2">
        <v>46120</v>
      </c>
      <c r="J67" t="s">
        <v>362</v>
      </c>
      <c r="K67" t="s">
        <v>31</v>
      </c>
      <c r="L67">
        <v>4545</v>
      </c>
      <c r="M67" t="s">
        <v>358</v>
      </c>
      <c r="N67" t="s">
        <v>44</v>
      </c>
      <c r="O67" t="str">
        <f>IF(AND(Table1_1[[#This Row],[Age]]&gt;=60,Table1_1[[#This Row],[Insurance Status]]="Insured"),"senior Eligible","Not Eligible")</f>
        <v>Not Eligible</v>
      </c>
      <c r="P67" t="str">
        <f>IF(OR(Table1_1[[#This Row],[Treatment Cost]]&gt;=20000,Table1_1[[#This Row],[Room Type]]="ICU"),"High Cost","Normal Cost")</f>
        <v>Normal Cost</v>
      </c>
      <c r="Q67" t="str">
        <f>IF(Table1_1[[#This Row],[Age]]&lt;=18,"Child",IF(Table1_1[[#This Row],[Age]]&lt;=59,"Adult",IF(Table1_1[[#This Row],[Age]]&gt;=60,"Senior")))</f>
        <v>Adult</v>
      </c>
    </row>
    <row r="68" spans="1:17" x14ac:dyDescent="0.25">
      <c r="A68" t="s">
        <v>131</v>
      </c>
      <c r="B68" t="s">
        <v>351</v>
      </c>
      <c r="C68" t="s">
        <v>56</v>
      </c>
      <c r="D68">
        <v>25</v>
      </c>
      <c r="E68" t="s">
        <v>17</v>
      </c>
      <c r="F68" t="s">
        <v>379</v>
      </c>
      <c r="G68" t="s">
        <v>360</v>
      </c>
      <c r="H68" s="2">
        <v>46145</v>
      </c>
      <c r="I68" s="2">
        <v>46155</v>
      </c>
      <c r="J68" t="s">
        <v>357</v>
      </c>
      <c r="K68" t="s">
        <v>31</v>
      </c>
      <c r="L68">
        <v>2326</v>
      </c>
      <c r="M68" t="s">
        <v>358</v>
      </c>
      <c r="N68" t="s">
        <v>23</v>
      </c>
      <c r="O68" t="str">
        <f>IF(AND(Table1_1[[#This Row],[Age]]&gt;=60,Table1_1[[#This Row],[Insurance Status]]="Insured"),"senior Eligible","Not Eligible")</f>
        <v>Not Eligible</v>
      </c>
      <c r="P68" t="str">
        <f>IF(OR(Table1_1[[#This Row],[Treatment Cost]]&gt;=20000,Table1_1[[#This Row],[Room Type]]="ICU"),"High Cost","Normal Cost")</f>
        <v>Normal Cost</v>
      </c>
      <c r="Q68" t="str">
        <f>IF(Table1_1[[#This Row],[Age]]&lt;=18,"Child",IF(Table1_1[[#This Row],[Age]]&lt;=59,"Adult",IF(Table1_1[[#This Row],[Age]]&gt;=60,"Senior")))</f>
        <v>Adult</v>
      </c>
    </row>
    <row r="69" spans="1:17" x14ac:dyDescent="0.25">
      <c r="A69" t="s">
        <v>139</v>
      </c>
      <c r="B69" t="s">
        <v>363</v>
      </c>
      <c r="C69" t="s">
        <v>41</v>
      </c>
      <c r="D69">
        <v>37</v>
      </c>
      <c r="E69" t="s">
        <v>35</v>
      </c>
      <c r="F69" t="s">
        <v>380</v>
      </c>
      <c r="G69" t="s">
        <v>54</v>
      </c>
      <c r="H69" s="2">
        <v>46190</v>
      </c>
      <c r="I69" s="2">
        <v>46195</v>
      </c>
      <c r="J69" t="s">
        <v>357</v>
      </c>
      <c r="K69" t="s">
        <v>21</v>
      </c>
      <c r="L69">
        <v>48853</v>
      </c>
      <c r="M69" t="s">
        <v>354</v>
      </c>
      <c r="N69" t="s">
        <v>23</v>
      </c>
      <c r="O69" t="str">
        <f>IF(AND(Table1_1[[#This Row],[Age]]&gt;=60,Table1_1[[#This Row],[Insurance Status]]="Insured"),"senior Eligible","Not Eligible")</f>
        <v>Not Eligible</v>
      </c>
      <c r="P69" t="str">
        <f>IF(OR(Table1_1[[#This Row],[Treatment Cost]]&gt;=20000,Table1_1[[#This Row],[Room Type]]="ICU"),"High Cost","Normal Cost")</f>
        <v>High Cost</v>
      </c>
      <c r="Q69" t="str">
        <f>IF(Table1_1[[#This Row],[Age]]&lt;=18,"Child",IF(Table1_1[[#This Row],[Age]]&lt;=59,"Adult",IF(Table1_1[[#This Row],[Age]]&gt;=60,"Senior")))</f>
        <v>Adult</v>
      </c>
    </row>
    <row r="70" spans="1:17" x14ac:dyDescent="0.25">
      <c r="A70" t="s">
        <v>229</v>
      </c>
      <c r="B70" t="s">
        <v>351</v>
      </c>
      <c r="C70" t="s">
        <v>41</v>
      </c>
      <c r="D70">
        <v>51</v>
      </c>
      <c r="E70" t="s">
        <v>27</v>
      </c>
      <c r="F70" t="s">
        <v>380</v>
      </c>
      <c r="G70" t="s">
        <v>54</v>
      </c>
      <c r="H70" s="2">
        <v>46107</v>
      </c>
      <c r="I70" s="2">
        <v>46112</v>
      </c>
      <c r="J70" t="s">
        <v>362</v>
      </c>
      <c r="K70" t="s">
        <v>48</v>
      </c>
      <c r="L70">
        <v>48629</v>
      </c>
      <c r="M70" t="s">
        <v>358</v>
      </c>
      <c r="N70" t="s">
        <v>23</v>
      </c>
      <c r="O70" t="str">
        <f>IF(AND(Table1_1[[#This Row],[Age]]&gt;=60,Table1_1[[#This Row],[Insurance Status]]="Insured"),"senior Eligible","Not Eligible")</f>
        <v>Not Eligible</v>
      </c>
      <c r="P70" t="str">
        <f>IF(OR(Table1_1[[#This Row],[Treatment Cost]]&gt;=20000,Table1_1[[#This Row],[Room Type]]="ICU"),"High Cost","Normal Cost")</f>
        <v>High Cost</v>
      </c>
      <c r="Q70" t="str">
        <f>IF(Table1_1[[#This Row],[Age]]&lt;=18,"Child",IF(Table1_1[[#This Row],[Age]]&lt;=59,"Adult",IF(Table1_1[[#This Row],[Age]]&gt;=60,"Senior")))</f>
        <v>Adult</v>
      </c>
    </row>
    <row r="71" spans="1:17" x14ac:dyDescent="0.25">
      <c r="A71" t="s">
        <v>242</v>
      </c>
      <c r="B71" t="s">
        <v>359</v>
      </c>
      <c r="C71" t="s">
        <v>56</v>
      </c>
      <c r="D71">
        <v>22</v>
      </c>
      <c r="E71" t="s">
        <v>27</v>
      </c>
      <c r="F71" t="s">
        <v>380</v>
      </c>
      <c r="G71" t="s">
        <v>360</v>
      </c>
      <c r="H71" s="2">
        <v>46097</v>
      </c>
      <c r="I71" s="2">
        <v>46104</v>
      </c>
      <c r="J71" t="s">
        <v>353</v>
      </c>
      <c r="K71" t="s">
        <v>48</v>
      </c>
      <c r="L71">
        <v>48551</v>
      </c>
      <c r="M71" t="s">
        <v>354</v>
      </c>
      <c r="N71" t="s">
        <v>23</v>
      </c>
      <c r="O71" t="str">
        <f>IF(AND(Table1_1[[#This Row],[Age]]&gt;=60,Table1_1[[#This Row],[Insurance Status]]="Insured"),"senior Eligible","Not Eligible")</f>
        <v>Not Eligible</v>
      </c>
      <c r="P71" t="str">
        <f>IF(OR(Table1_1[[#This Row],[Treatment Cost]]&gt;=20000,Table1_1[[#This Row],[Room Type]]="ICU"),"High Cost","Normal Cost")</f>
        <v>High Cost</v>
      </c>
      <c r="Q71" t="str">
        <f>IF(Table1_1[[#This Row],[Age]]&lt;=18,"Child",IF(Table1_1[[#This Row],[Age]]&lt;=59,"Adult",IF(Table1_1[[#This Row],[Age]]&gt;=60,"Senior")))</f>
        <v>Adult</v>
      </c>
    </row>
    <row r="72" spans="1:17" x14ac:dyDescent="0.25">
      <c r="A72" t="s">
        <v>343</v>
      </c>
      <c r="B72" t="s">
        <v>363</v>
      </c>
      <c r="C72" t="s">
        <v>41</v>
      </c>
      <c r="D72">
        <v>54</v>
      </c>
      <c r="E72" t="s">
        <v>27</v>
      </c>
      <c r="F72" t="s">
        <v>380</v>
      </c>
      <c r="G72" t="s">
        <v>54</v>
      </c>
      <c r="H72" s="2">
        <v>46122</v>
      </c>
      <c r="I72" s="2">
        <v>46129</v>
      </c>
      <c r="J72" t="s">
        <v>362</v>
      </c>
      <c r="K72" t="s">
        <v>21</v>
      </c>
      <c r="L72">
        <v>48275</v>
      </c>
      <c r="M72" t="s">
        <v>358</v>
      </c>
      <c r="N72" t="s">
        <v>39</v>
      </c>
      <c r="O72" t="str">
        <f>IF(AND(Table1_1[[#This Row],[Age]]&gt;=60,Table1_1[[#This Row],[Insurance Status]]="Insured"),"senior Eligible","Not Eligible")</f>
        <v>Not Eligible</v>
      </c>
      <c r="P72" t="str">
        <f>IF(OR(Table1_1[[#This Row],[Treatment Cost]]&gt;=20000,Table1_1[[#This Row],[Room Type]]="ICU"),"High Cost","Normal Cost")</f>
        <v>High Cost</v>
      </c>
      <c r="Q72" t="str">
        <f>IF(Table1_1[[#This Row],[Age]]&lt;=18,"Child",IF(Table1_1[[#This Row],[Age]]&lt;=59,"Adult",IF(Table1_1[[#This Row],[Age]]&gt;=60,"Senior")))</f>
        <v>Adult</v>
      </c>
    </row>
    <row r="73" spans="1:17" x14ac:dyDescent="0.25">
      <c r="A73" t="s">
        <v>64</v>
      </c>
      <c r="B73" t="s">
        <v>364</v>
      </c>
      <c r="C73" t="s">
        <v>41</v>
      </c>
      <c r="D73">
        <v>18</v>
      </c>
      <c r="E73" t="s">
        <v>35</v>
      </c>
      <c r="F73" t="s">
        <v>380</v>
      </c>
      <c r="G73" t="s">
        <v>356</v>
      </c>
      <c r="H73" s="2">
        <v>46117</v>
      </c>
      <c r="I73" s="2">
        <v>46125</v>
      </c>
      <c r="J73" t="s">
        <v>357</v>
      </c>
      <c r="K73" t="s">
        <v>48</v>
      </c>
      <c r="L73">
        <v>46863</v>
      </c>
      <c r="M73" t="s">
        <v>358</v>
      </c>
      <c r="N73" t="s">
        <v>23</v>
      </c>
      <c r="O73" t="str">
        <f>IF(AND(Table1_1[[#This Row],[Age]]&gt;=60,Table1_1[[#This Row],[Insurance Status]]="Insured"),"senior Eligible","Not Eligible")</f>
        <v>Not Eligible</v>
      </c>
      <c r="P73" t="str">
        <f>IF(OR(Table1_1[[#This Row],[Treatment Cost]]&gt;=20000,Table1_1[[#This Row],[Room Type]]="ICU"),"High Cost","Normal Cost")</f>
        <v>High Cost</v>
      </c>
      <c r="Q73" t="str">
        <f>IF(Table1_1[[#This Row],[Age]]&lt;=18,"Child",IF(Table1_1[[#This Row],[Age]]&lt;=59,"Adult",IF(Table1_1[[#This Row],[Age]]&gt;=60,"Senior")))</f>
        <v>Child</v>
      </c>
    </row>
    <row r="74" spans="1:17" x14ac:dyDescent="0.25">
      <c r="A74" t="s">
        <v>194</v>
      </c>
      <c r="B74" t="s">
        <v>351</v>
      </c>
      <c r="C74" t="s">
        <v>56</v>
      </c>
      <c r="D74">
        <v>50</v>
      </c>
      <c r="E74" t="s">
        <v>17</v>
      </c>
      <c r="F74" t="s">
        <v>380</v>
      </c>
      <c r="G74" t="s">
        <v>356</v>
      </c>
      <c r="H74" s="2">
        <v>46170</v>
      </c>
      <c r="I74" s="2">
        <v>46178</v>
      </c>
      <c r="J74" t="s">
        <v>362</v>
      </c>
      <c r="K74" t="s">
        <v>31</v>
      </c>
      <c r="L74">
        <v>46136</v>
      </c>
      <c r="M74" t="s">
        <v>354</v>
      </c>
      <c r="N74" t="s">
        <v>39</v>
      </c>
      <c r="O74" t="str">
        <f>IF(AND(Table1_1[[#This Row],[Age]]&gt;=60,Table1_1[[#This Row],[Insurance Status]]="Insured"),"senior Eligible","Not Eligible")</f>
        <v>Not Eligible</v>
      </c>
      <c r="P74" t="str">
        <f>IF(OR(Table1_1[[#This Row],[Treatment Cost]]&gt;=20000,Table1_1[[#This Row],[Room Type]]="ICU"),"High Cost","Normal Cost")</f>
        <v>High Cost</v>
      </c>
      <c r="Q74" t="str">
        <f>IF(Table1_1[[#This Row],[Age]]&lt;=18,"Child",IF(Table1_1[[#This Row],[Age]]&lt;=59,"Adult",IF(Table1_1[[#This Row],[Age]]&gt;=60,"Senior")))</f>
        <v>Adult</v>
      </c>
    </row>
    <row r="75" spans="1:17" x14ac:dyDescent="0.25">
      <c r="A75" t="s">
        <v>239</v>
      </c>
      <c r="B75" t="s">
        <v>351</v>
      </c>
      <c r="C75" t="s">
        <v>56</v>
      </c>
      <c r="D75">
        <v>42</v>
      </c>
      <c r="E75" t="s">
        <v>17</v>
      </c>
      <c r="F75" t="s">
        <v>380</v>
      </c>
      <c r="G75" t="s">
        <v>54</v>
      </c>
      <c r="H75" s="2">
        <v>46086</v>
      </c>
      <c r="I75" s="2">
        <v>46087</v>
      </c>
      <c r="J75" t="s">
        <v>357</v>
      </c>
      <c r="K75" t="s">
        <v>21</v>
      </c>
      <c r="L75">
        <v>45538</v>
      </c>
      <c r="M75" t="s">
        <v>358</v>
      </c>
      <c r="N75" t="s">
        <v>23</v>
      </c>
      <c r="O75" t="str">
        <f>IF(AND(Table1_1[[#This Row],[Age]]&gt;=60,Table1_1[[#This Row],[Insurance Status]]="Insured"),"senior Eligible","Not Eligible")</f>
        <v>Not Eligible</v>
      </c>
      <c r="P75" t="str">
        <f>IF(OR(Table1_1[[#This Row],[Treatment Cost]]&gt;=20000,Table1_1[[#This Row],[Room Type]]="ICU"),"High Cost","Normal Cost")</f>
        <v>High Cost</v>
      </c>
      <c r="Q75" t="str">
        <f>IF(Table1_1[[#This Row],[Age]]&lt;=18,"Child",IF(Table1_1[[#This Row],[Age]]&lt;=59,"Adult",IF(Table1_1[[#This Row],[Age]]&gt;=60,"Senior")))</f>
        <v>Adult</v>
      </c>
    </row>
    <row r="76" spans="1:17" x14ac:dyDescent="0.25">
      <c r="A76" t="s">
        <v>157</v>
      </c>
      <c r="B76" t="s">
        <v>355</v>
      </c>
      <c r="C76" t="s">
        <v>56</v>
      </c>
      <c r="D76">
        <v>27</v>
      </c>
      <c r="E76" t="s">
        <v>27</v>
      </c>
      <c r="F76" t="s">
        <v>380</v>
      </c>
      <c r="G76" t="s">
        <v>54</v>
      </c>
      <c r="H76" s="2">
        <v>46039</v>
      </c>
      <c r="I76" s="2">
        <v>46042</v>
      </c>
      <c r="J76" t="s">
        <v>357</v>
      </c>
      <c r="K76" t="s">
        <v>31</v>
      </c>
      <c r="L76">
        <v>44834</v>
      </c>
      <c r="M76" t="s">
        <v>358</v>
      </c>
      <c r="N76" t="s">
        <v>39</v>
      </c>
      <c r="O76" t="str">
        <f>IF(AND(Table1_1[[#This Row],[Age]]&gt;=60,Table1_1[[#This Row],[Insurance Status]]="Insured"),"senior Eligible","Not Eligible")</f>
        <v>Not Eligible</v>
      </c>
      <c r="P76" t="str">
        <f>IF(OR(Table1_1[[#This Row],[Treatment Cost]]&gt;=20000,Table1_1[[#This Row],[Room Type]]="ICU"),"High Cost","Normal Cost")</f>
        <v>High Cost</v>
      </c>
      <c r="Q76" t="str">
        <f>IF(Table1_1[[#This Row],[Age]]&lt;=18,"Child",IF(Table1_1[[#This Row],[Age]]&lt;=59,"Adult",IF(Table1_1[[#This Row],[Age]]&gt;=60,"Senior")))</f>
        <v>Adult</v>
      </c>
    </row>
    <row r="77" spans="1:17" x14ac:dyDescent="0.25">
      <c r="A77" t="s">
        <v>173</v>
      </c>
      <c r="B77" t="s">
        <v>364</v>
      </c>
      <c r="C77" t="s">
        <v>41</v>
      </c>
      <c r="D77">
        <v>26</v>
      </c>
      <c r="E77" t="s">
        <v>27</v>
      </c>
      <c r="F77" t="s">
        <v>380</v>
      </c>
      <c r="G77" t="s">
        <v>54</v>
      </c>
      <c r="H77" s="2">
        <v>46144</v>
      </c>
      <c r="I77" s="2">
        <v>46149</v>
      </c>
      <c r="J77" t="s">
        <v>357</v>
      </c>
      <c r="K77" t="s">
        <v>37</v>
      </c>
      <c r="L77">
        <v>44545</v>
      </c>
      <c r="M77" t="s">
        <v>358</v>
      </c>
      <c r="N77" t="s">
        <v>23</v>
      </c>
      <c r="O77" t="str">
        <f>IF(AND(Table1_1[[#This Row],[Age]]&gt;=60,Table1_1[[#This Row],[Insurance Status]]="Insured"),"senior Eligible","Not Eligible")</f>
        <v>Not Eligible</v>
      </c>
      <c r="P77" t="str">
        <f>IF(OR(Table1_1[[#This Row],[Treatment Cost]]&gt;=20000,Table1_1[[#This Row],[Room Type]]="ICU"),"High Cost","Normal Cost")</f>
        <v>High Cost</v>
      </c>
      <c r="Q77" t="str">
        <f>IF(Table1_1[[#This Row],[Age]]&lt;=18,"Child",IF(Table1_1[[#This Row],[Age]]&lt;=59,"Adult",IF(Table1_1[[#This Row],[Age]]&gt;=60,"Senior")))</f>
        <v>Adult</v>
      </c>
    </row>
    <row r="78" spans="1:17" x14ac:dyDescent="0.25">
      <c r="A78" t="s">
        <v>233</v>
      </c>
      <c r="B78" t="s">
        <v>355</v>
      </c>
      <c r="C78" t="s">
        <v>41</v>
      </c>
      <c r="D78">
        <v>55</v>
      </c>
      <c r="E78" t="s">
        <v>35</v>
      </c>
      <c r="F78" t="s">
        <v>380</v>
      </c>
      <c r="G78" t="s">
        <v>54</v>
      </c>
      <c r="H78" s="2">
        <v>46197</v>
      </c>
      <c r="I78" s="2">
        <v>46198</v>
      </c>
      <c r="J78" t="s">
        <v>357</v>
      </c>
      <c r="K78" t="s">
        <v>37</v>
      </c>
      <c r="L78">
        <v>44009</v>
      </c>
      <c r="M78" t="s">
        <v>354</v>
      </c>
      <c r="N78" t="s">
        <v>23</v>
      </c>
      <c r="O78" t="str">
        <f>IF(AND(Table1_1[[#This Row],[Age]]&gt;=60,Table1_1[[#This Row],[Insurance Status]]="Insured"),"senior Eligible","Not Eligible")</f>
        <v>Not Eligible</v>
      </c>
      <c r="P78" t="str">
        <f>IF(OR(Table1_1[[#This Row],[Treatment Cost]]&gt;=20000,Table1_1[[#This Row],[Room Type]]="ICU"),"High Cost","Normal Cost")</f>
        <v>High Cost</v>
      </c>
      <c r="Q78" t="str">
        <f>IF(Table1_1[[#This Row],[Age]]&lt;=18,"Child",IF(Table1_1[[#This Row],[Age]]&lt;=59,"Adult",IF(Table1_1[[#This Row],[Age]]&gt;=60,"Senior")))</f>
        <v>Adult</v>
      </c>
    </row>
    <row r="79" spans="1:17" x14ac:dyDescent="0.25">
      <c r="A79" t="s">
        <v>111</v>
      </c>
      <c r="B79" t="s">
        <v>359</v>
      </c>
      <c r="C79" t="s">
        <v>56</v>
      </c>
      <c r="D79">
        <v>65</v>
      </c>
      <c r="E79" t="s">
        <v>35</v>
      </c>
      <c r="F79" t="s">
        <v>380</v>
      </c>
      <c r="G79" t="s">
        <v>360</v>
      </c>
      <c r="H79" s="2">
        <v>46111</v>
      </c>
      <c r="I79" s="2">
        <v>46121</v>
      </c>
      <c r="J79" t="s">
        <v>362</v>
      </c>
      <c r="K79" t="s">
        <v>31</v>
      </c>
      <c r="L79">
        <v>43035</v>
      </c>
      <c r="M79" t="s">
        <v>354</v>
      </c>
      <c r="N79" t="s">
        <v>23</v>
      </c>
      <c r="O79" t="str">
        <f>IF(AND(Table1_1[[#This Row],[Age]]&gt;=60,Table1_1[[#This Row],[Insurance Status]]="Insured"),"senior Eligible","Not Eligible")</f>
        <v>Not Eligible</v>
      </c>
      <c r="P79" t="str">
        <f>IF(OR(Table1_1[[#This Row],[Treatment Cost]]&gt;=20000,Table1_1[[#This Row],[Room Type]]="ICU"),"High Cost","Normal Cost")</f>
        <v>High Cost</v>
      </c>
      <c r="Q79" t="str">
        <f>IF(Table1_1[[#This Row],[Age]]&lt;=18,"Child",IF(Table1_1[[#This Row],[Age]]&lt;=59,"Adult",IF(Table1_1[[#This Row],[Age]]&gt;=60,"Senior")))</f>
        <v>Senior</v>
      </c>
    </row>
    <row r="80" spans="1:17" x14ac:dyDescent="0.25">
      <c r="A80" t="s">
        <v>254</v>
      </c>
      <c r="B80" t="s">
        <v>355</v>
      </c>
      <c r="C80" t="s">
        <v>41</v>
      </c>
      <c r="D80">
        <v>84</v>
      </c>
      <c r="E80" t="s">
        <v>47</v>
      </c>
      <c r="F80" t="s">
        <v>380</v>
      </c>
      <c r="G80" t="s">
        <v>54</v>
      </c>
      <c r="H80" s="2">
        <v>46054</v>
      </c>
      <c r="I80" s="2">
        <v>46055</v>
      </c>
      <c r="J80" t="s">
        <v>353</v>
      </c>
      <c r="K80" t="s">
        <v>48</v>
      </c>
      <c r="L80">
        <v>42974</v>
      </c>
      <c r="M80" t="s">
        <v>354</v>
      </c>
      <c r="N80" t="s">
        <v>44</v>
      </c>
      <c r="O80" t="str">
        <f>IF(AND(Table1_1[[#This Row],[Age]]&gt;=60,Table1_1[[#This Row],[Insurance Status]]="Insured"),"senior Eligible","Not Eligible")</f>
        <v>Not Eligible</v>
      </c>
      <c r="P80" t="str">
        <f>IF(OR(Table1_1[[#This Row],[Treatment Cost]]&gt;=20000,Table1_1[[#This Row],[Room Type]]="ICU"),"High Cost","Normal Cost")</f>
        <v>High Cost</v>
      </c>
      <c r="Q80" t="str">
        <f>IF(Table1_1[[#This Row],[Age]]&lt;=18,"Child",IF(Table1_1[[#This Row],[Age]]&lt;=59,"Adult",IF(Table1_1[[#This Row],[Age]]&gt;=60,"Senior")))</f>
        <v>Senior</v>
      </c>
    </row>
    <row r="81" spans="1:17" x14ac:dyDescent="0.25">
      <c r="A81" t="s">
        <v>267</v>
      </c>
      <c r="B81" t="s">
        <v>364</v>
      </c>
      <c r="C81" t="s">
        <v>41</v>
      </c>
      <c r="D81">
        <v>59</v>
      </c>
      <c r="E81" t="s">
        <v>27</v>
      </c>
      <c r="F81" t="s">
        <v>380</v>
      </c>
      <c r="G81" t="s">
        <v>360</v>
      </c>
      <c r="H81" s="2">
        <v>46034</v>
      </c>
      <c r="I81" s="2">
        <v>46040</v>
      </c>
      <c r="J81" t="s">
        <v>357</v>
      </c>
      <c r="K81" t="s">
        <v>21</v>
      </c>
      <c r="L81">
        <v>42171</v>
      </c>
      <c r="M81" t="s">
        <v>358</v>
      </c>
      <c r="N81" t="s">
        <v>23</v>
      </c>
      <c r="O81" t="str">
        <f>IF(AND(Table1_1[[#This Row],[Age]]&gt;=60,Table1_1[[#This Row],[Insurance Status]]="Insured"),"senior Eligible","Not Eligible")</f>
        <v>Not Eligible</v>
      </c>
      <c r="P81" t="str">
        <f>IF(OR(Table1_1[[#This Row],[Treatment Cost]]&gt;=20000,Table1_1[[#This Row],[Room Type]]="ICU"),"High Cost","Normal Cost")</f>
        <v>High Cost</v>
      </c>
      <c r="Q81" t="str">
        <f>IF(Table1_1[[#This Row],[Age]]&lt;=18,"Child",IF(Table1_1[[#This Row],[Age]]&lt;=59,"Adult",IF(Table1_1[[#This Row],[Age]]&gt;=60,"Senior")))</f>
        <v>Adult</v>
      </c>
    </row>
    <row r="82" spans="1:17" x14ac:dyDescent="0.25">
      <c r="A82" t="s">
        <v>185</v>
      </c>
      <c r="B82" t="s">
        <v>364</v>
      </c>
      <c r="C82" t="s">
        <v>41</v>
      </c>
      <c r="D82">
        <v>33</v>
      </c>
      <c r="E82" t="s">
        <v>27</v>
      </c>
      <c r="F82" t="s">
        <v>380</v>
      </c>
      <c r="G82" t="s">
        <v>352</v>
      </c>
      <c r="H82" s="2">
        <v>46100</v>
      </c>
      <c r="I82" s="2">
        <v>46108</v>
      </c>
      <c r="J82" t="s">
        <v>357</v>
      </c>
      <c r="K82" t="s">
        <v>48</v>
      </c>
      <c r="L82">
        <v>41198</v>
      </c>
      <c r="M82" t="s">
        <v>354</v>
      </c>
      <c r="N82" t="s">
        <v>39</v>
      </c>
      <c r="O82" t="str">
        <f>IF(AND(Table1_1[[#This Row],[Age]]&gt;=60,Table1_1[[#This Row],[Insurance Status]]="Insured"),"senior Eligible","Not Eligible")</f>
        <v>Not Eligible</v>
      </c>
      <c r="P82" t="str">
        <f>IF(OR(Table1_1[[#This Row],[Treatment Cost]]&gt;=20000,Table1_1[[#This Row],[Room Type]]="ICU"),"High Cost","Normal Cost")</f>
        <v>High Cost</v>
      </c>
      <c r="Q82" t="str">
        <f>IF(Table1_1[[#This Row],[Age]]&lt;=18,"Child",IF(Table1_1[[#This Row],[Age]]&lt;=59,"Adult",IF(Table1_1[[#This Row],[Age]]&gt;=60,"Senior")))</f>
        <v>Adult</v>
      </c>
    </row>
    <row r="83" spans="1:17" x14ac:dyDescent="0.25">
      <c r="A83" t="s">
        <v>228</v>
      </c>
      <c r="B83" t="s">
        <v>364</v>
      </c>
      <c r="C83" t="s">
        <v>41</v>
      </c>
      <c r="D83">
        <v>63</v>
      </c>
      <c r="E83" t="s">
        <v>27</v>
      </c>
      <c r="F83" t="s">
        <v>380</v>
      </c>
      <c r="G83" t="s">
        <v>54</v>
      </c>
      <c r="H83" s="2">
        <v>46148</v>
      </c>
      <c r="I83" s="2">
        <v>46152</v>
      </c>
      <c r="J83" t="s">
        <v>362</v>
      </c>
      <c r="K83" t="s">
        <v>21</v>
      </c>
      <c r="L83">
        <v>38558</v>
      </c>
      <c r="M83" t="s">
        <v>358</v>
      </c>
      <c r="N83" t="s">
        <v>39</v>
      </c>
      <c r="O83" t="str">
        <f>IF(AND(Table1_1[[#This Row],[Age]]&gt;=60,Table1_1[[#This Row],[Insurance Status]]="Insured"),"senior Eligible","Not Eligible")</f>
        <v>senior Eligible</v>
      </c>
      <c r="P83" t="str">
        <f>IF(OR(Table1_1[[#This Row],[Treatment Cost]]&gt;=20000,Table1_1[[#This Row],[Room Type]]="ICU"),"High Cost","Normal Cost")</f>
        <v>High Cost</v>
      </c>
      <c r="Q83" t="str">
        <f>IF(Table1_1[[#This Row],[Age]]&lt;=18,"Child",IF(Table1_1[[#This Row],[Age]]&lt;=59,"Adult",IF(Table1_1[[#This Row],[Age]]&gt;=60,"Senior")))</f>
        <v>Senior</v>
      </c>
    </row>
    <row r="84" spans="1:17" x14ac:dyDescent="0.25">
      <c r="A84" t="s">
        <v>337</v>
      </c>
      <c r="B84" t="s">
        <v>363</v>
      </c>
      <c r="C84" t="s">
        <v>41</v>
      </c>
      <c r="D84">
        <v>61</v>
      </c>
      <c r="E84" t="s">
        <v>17</v>
      </c>
      <c r="F84" t="s">
        <v>380</v>
      </c>
      <c r="G84" t="s">
        <v>360</v>
      </c>
      <c r="H84" s="2">
        <v>46118</v>
      </c>
      <c r="I84" s="2">
        <v>46121</v>
      </c>
      <c r="J84" t="s">
        <v>357</v>
      </c>
      <c r="K84" t="s">
        <v>48</v>
      </c>
      <c r="L84">
        <v>38375</v>
      </c>
      <c r="M84" t="s">
        <v>354</v>
      </c>
      <c r="N84" t="s">
        <v>39</v>
      </c>
      <c r="O84" t="str">
        <f>IF(AND(Table1_1[[#This Row],[Age]]&gt;=60,Table1_1[[#This Row],[Insurance Status]]="Insured"),"senior Eligible","Not Eligible")</f>
        <v>Not Eligible</v>
      </c>
      <c r="P84" t="str">
        <f>IF(OR(Table1_1[[#This Row],[Treatment Cost]]&gt;=20000,Table1_1[[#This Row],[Room Type]]="ICU"),"High Cost","Normal Cost")</f>
        <v>High Cost</v>
      </c>
      <c r="Q84" t="str">
        <f>IF(Table1_1[[#This Row],[Age]]&lt;=18,"Child",IF(Table1_1[[#This Row],[Age]]&lt;=59,"Adult",IF(Table1_1[[#This Row],[Age]]&gt;=60,"Senior")))</f>
        <v>Senior</v>
      </c>
    </row>
    <row r="85" spans="1:17" x14ac:dyDescent="0.25">
      <c r="A85" t="s">
        <v>94</v>
      </c>
      <c r="B85" t="s">
        <v>364</v>
      </c>
      <c r="C85" t="s">
        <v>41</v>
      </c>
      <c r="D85">
        <v>61</v>
      </c>
      <c r="E85" t="s">
        <v>47</v>
      </c>
      <c r="F85" t="s">
        <v>380</v>
      </c>
      <c r="G85" t="s">
        <v>356</v>
      </c>
      <c r="H85" s="2">
        <v>46064</v>
      </c>
      <c r="I85" s="2">
        <v>46071</v>
      </c>
      <c r="J85" t="s">
        <v>353</v>
      </c>
      <c r="K85" t="s">
        <v>31</v>
      </c>
      <c r="L85">
        <v>37538</v>
      </c>
      <c r="M85" t="s">
        <v>354</v>
      </c>
      <c r="N85" t="s">
        <v>39</v>
      </c>
      <c r="O85" t="str">
        <f>IF(AND(Table1_1[[#This Row],[Age]]&gt;=60,Table1_1[[#This Row],[Insurance Status]]="Insured"),"senior Eligible","Not Eligible")</f>
        <v>Not Eligible</v>
      </c>
      <c r="P85" t="str">
        <f>IF(OR(Table1_1[[#This Row],[Treatment Cost]]&gt;=20000,Table1_1[[#This Row],[Room Type]]="ICU"),"High Cost","Normal Cost")</f>
        <v>High Cost</v>
      </c>
      <c r="Q85" t="str">
        <f>IF(Table1_1[[#This Row],[Age]]&lt;=18,"Child",IF(Table1_1[[#This Row],[Age]]&lt;=59,"Adult",IF(Table1_1[[#This Row],[Age]]&gt;=60,"Senior")))</f>
        <v>Senior</v>
      </c>
    </row>
    <row r="86" spans="1:17" x14ac:dyDescent="0.25">
      <c r="A86" t="s">
        <v>224</v>
      </c>
      <c r="B86" t="s">
        <v>361</v>
      </c>
      <c r="C86" t="s">
        <v>56</v>
      </c>
      <c r="D86">
        <v>52</v>
      </c>
      <c r="E86" t="s">
        <v>17</v>
      </c>
      <c r="F86" t="s">
        <v>380</v>
      </c>
      <c r="G86" t="s">
        <v>54</v>
      </c>
      <c r="H86" s="2">
        <v>46172</v>
      </c>
      <c r="I86" s="2">
        <v>46174</v>
      </c>
      <c r="J86" t="s">
        <v>357</v>
      </c>
      <c r="K86" t="s">
        <v>37</v>
      </c>
      <c r="L86">
        <v>36977</v>
      </c>
      <c r="M86" t="s">
        <v>358</v>
      </c>
      <c r="N86" t="s">
        <v>39</v>
      </c>
      <c r="O86" t="str">
        <f>IF(AND(Table1_1[[#This Row],[Age]]&gt;=60,Table1_1[[#This Row],[Insurance Status]]="Insured"),"senior Eligible","Not Eligible")</f>
        <v>Not Eligible</v>
      </c>
      <c r="P86" t="str">
        <f>IF(OR(Table1_1[[#This Row],[Treatment Cost]]&gt;=20000,Table1_1[[#This Row],[Room Type]]="ICU"),"High Cost","Normal Cost")</f>
        <v>High Cost</v>
      </c>
      <c r="Q86" t="str">
        <f>IF(Table1_1[[#This Row],[Age]]&lt;=18,"Child",IF(Table1_1[[#This Row],[Age]]&lt;=59,"Adult",IF(Table1_1[[#This Row],[Age]]&gt;=60,"Senior")))</f>
        <v>Adult</v>
      </c>
    </row>
    <row r="87" spans="1:17" x14ac:dyDescent="0.25">
      <c r="A87" t="s">
        <v>108</v>
      </c>
      <c r="B87" t="s">
        <v>361</v>
      </c>
      <c r="C87" t="s">
        <v>41</v>
      </c>
      <c r="D87">
        <v>75</v>
      </c>
      <c r="E87" t="s">
        <v>27</v>
      </c>
      <c r="F87" t="s">
        <v>380</v>
      </c>
      <c r="G87" t="s">
        <v>360</v>
      </c>
      <c r="H87" s="2">
        <v>46066</v>
      </c>
      <c r="I87" s="2">
        <v>46068</v>
      </c>
      <c r="J87" t="s">
        <v>362</v>
      </c>
      <c r="K87" t="s">
        <v>37</v>
      </c>
      <c r="L87">
        <v>36685</v>
      </c>
      <c r="M87" t="s">
        <v>358</v>
      </c>
      <c r="N87" t="s">
        <v>39</v>
      </c>
      <c r="O87" t="str">
        <f>IF(AND(Table1_1[[#This Row],[Age]]&gt;=60,Table1_1[[#This Row],[Insurance Status]]="Insured"),"senior Eligible","Not Eligible")</f>
        <v>senior Eligible</v>
      </c>
      <c r="P87" t="str">
        <f>IF(OR(Table1_1[[#This Row],[Treatment Cost]]&gt;=20000,Table1_1[[#This Row],[Room Type]]="ICU"),"High Cost","Normal Cost")</f>
        <v>High Cost</v>
      </c>
      <c r="Q87" t="str">
        <f>IF(Table1_1[[#This Row],[Age]]&lt;=18,"Child",IF(Table1_1[[#This Row],[Age]]&lt;=59,"Adult",IF(Table1_1[[#This Row],[Age]]&gt;=60,"Senior")))</f>
        <v>Senior</v>
      </c>
    </row>
    <row r="88" spans="1:17" x14ac:dyDescent="0.25">
      <c r="A88" t="s">
        <v>80</v>
      </c>
      <c r="B88" t="s">
        <v>361</v>
      </c>
      <c r="C88" t="s">
        <v>41</v>
      </c>
      <c r="D88">
        <v>71</v>
      </c>
      <c r="E88" t="s">
        <v>27</v>
      </c>
      <c r="F88" t="s">
        <v>380</v>
      </c>
      <c r="G88" t="s">
        <v>352</v>
      </c>
      <c r="H88" s="2">
        <v>46114</v>
      </c>
      <c r="I88" s="2">
        <v>46124</v>
      </c>
      <c r="J88" t="s">
        <v>357</v>
      </c>
      <c r="K88" t="s">
        <v>31</v>
      </c>
      <c r="L88">
        <v>36014</v>
      </c>
      <c r="M88" t="s">
        <v>354</v>
      </c>
      <c r="N88" t="s">
        <v>44</v>
      </c>
      <c r="O88" t="str">
        <f>IF(AND(Table1_1[[#This Row],[Age]]&gt;=60,Table1_1[[#This Row],[Insurance Status]]="Insured"),"senior Eligible","Not Eligible")</f>
        <v>Not Eligible</v>
      </c>
      <c r="P88" t="str">
        <f>IF(OR(Table1_1[[#This Row],[Treatment Cost]]&gt;=20000,Table1_1[[#This Row],[Room Type]]="ICU"),"High Cost","Normal Cost")</f>
        <v>High Cost</v>
      </c>
      <c r="Q88" t="str">
        <f>IF(Table1_1[[#This Row],[Age]]&lt;=18,"Child",IF(Table1_1[[#This Row],[Age]]&lt;=59,"Adult",IF(Table1_1[[#This Row],[Age]]&gt;=60,"Senior")))</f>
        <v>Senior</v>
      </c>
    </row>
    <row r="89" spans="1:17" x14ac:dyDescent="0.25">
      <c r="A89" t="s">
        <v>188</v>
      </c>
      <c r="B89" t="s">
        <v>359</v>
      </c>
      <c r="C89" t="s">
        <v>56</v>
      </c>
      <c r="D89">
        <v>65</v>
      </c>
      <c r="E89" t="s">
        <v>35</v>
      </c>
      <c r="F89" t="s">
        <v>380</v>
      </c>
      <c r="G89" t="s">
        <v>356</v>
      </c>
      <c r="H89" s="2">
        <v>46049</v>
      </c>
      <c r="I89" s="2">
        <v>46055</v>
      </c>
      <c r="J89" t="s">
        <v>362</v>
      </c>
      <c r="K89" t="s">
        <v>31</v>
      </c>
      <c r="L89">
        <v>34894</v>
      </c>
      <c r="M89" t="s">
        <v>358</v>
      </c>
      <c r="N89" t="s">
        <v>23</v>
      </c>
      <c r="O89" t="str">
        <f>IF(AND(Table1_1[[#This Row],[Age]]&gt;=60,Table1_1[[#This Row],[Insurance Status]]="Insured"),"senior Eligible","Not Eligible")</f>
        <v>senior Eligible</v>
      </c>
      <c r="P89" t="str">
        <f>IF(OR(Table1_1[[#This Row],[Treatment Cost]]&gt;=20000,Table1_1[[#This Row],[Room Type]]="ICU"),"High Cost","Normal Cost")</f>
        <v>High Cost</v>
      </c>
      <c r="Q89" t="str">
        <f>IF(Table1_1[[#This Row],[Age]]&lt;=18,"Child",IF(Table1_1[[#This Row],[Age]]&lt;=59,"Adult",IF(Table1_1[[#This Row],[Age]]&gt;=60,"Senior")))</f>
        <v>Senior</v>
      </c>
    </row>
    <row r="90" spans="1:17" x14ac:dyDescent="0.25">
      <c r="A90" t="s">
        <v>241</v>
      </c>
      <c r="B90" t="s">
        <v>359</v>
      </c>
      <c r="C90" t="s">
        <v>56</v>
      </c>
      <c r="D90">
        <v>19</v>
      </c>
      <c r="E90" t="s">
        <v>27</v>
      </c>
      <c r="F90" t="s">
        <v>380</v>
      </c>
      <c r="G90" t="s">
        <v>352</v>
      </c>
      <c r="H90" s="2">
        <v>46090</v>
      </c>
      <c r="I90" s="2">
        <v>46092</v>
      </c>
      <c r="J90" t="s">
        <v>357</v>
      </c>
      <c r="K90" t="s">
        <v>37</v>
      </c>
      <c r="L90">
        <v>33515</v>
      </c>
      <c r="M90" t="s">
        <v>358</v>
      </c>
      <c r="N90" t="s">
        <v>23</v>
      </c>
      <c r="O90" t="str">
        <f>IF(AND(Table1_1[[#This Row],[Age]]&gt;=60,Table1_1[[#This Row],[Insurance Status]]="Insured"),"senior Eligible","Not Eligible")</f>
        <v>Not Eligible</v>
      </c>
      <c r="P90" t="str">
        <f>IF(OR(Table1_1[[#This Row],[Treatment Cost]]&gt;=20000,Table1_1[[#This Row],[Room Type]]="ICU"),"High Cost","Normal Cost")</f>
        <v>High Cost</v>
      </c>
      <c r="Q90" t="str">
        <f>IF(Table1_1[[#This Row],[Age]]&lt;=18,"Child",IF(Table1_1[[#This Row],[Age]]&lt;=59,"Adult",IF(Table1_1[[#This Row],[Age]]&gt;=60,"Senior")))</f>
        <v>Adult</v>
      </c>
    </row>
    <row r="91" spans="1:17" x14ac:dyDescent="0.25">
      <c r="A91" t="s">
        <v>292</v>
      </c>
      <c r="B91" t="s">
        <v>363</v>
      </c>
      <c r="C91" t="s">
        <v>56</v>
      </c>
      <c r="D91">
        <v>78</v>
      </c>
      <c r="E91" t="s">
        <v>47</v>
      </c>
      <c r="F91" t="s">
        <v>380</v>
      </c>
      <c r="G91" t="s">
        <v>356</v>
      </c>
      <c r="H91" s="2">
        <v>46148</v>
      </c>
      <c r="I91" s="2">
        <v>46149</v>
      </c>
      <c r="J91" t="s">
        <v>353</v>
      </c>
      <c r="K91" t="s">
        <v>48</v>
      </c>
      <c r="L91">
        <v>32530</v>
      </c>
      <c r="M91" t="s">
        <v>358</v>
      </c>
      <c r="N91" t="s">
        <v>23</v>
      </c>
      <c r="O91" t="str">
        <f>IF(AND(Table1_1[[#This Row],[Age]]&gt;=60,Table1_1[[#This Row],[Insurance Status]]="Insured"),"senior Eligible","Not Eligible")</f>
        <v>senior Eligible</v>
      </c>
      <c r="P91" t="str">
        <f>IF(OR(Table1_1[[#This Row],[Treatment Cost]]&gt;=20000,Table1_1[[#This Row],[Room Type]]="ICU"),"High Cost","Normal Cost")</f>
        <v>High Cost</v>
      </c>
      <c r="Q91" t="str">
        <f>IF(Table1_1[[#This Row],[Age]]&lt;=18,"Child",IF(Table1_1[[#This Row],[Age]]&lt;=59,"Adult",IF(Table1_1[[#This Row],[Age]]&gt;=60,"Senior")))</f>
        <v>Senior</v>
      </c>
    </row>
    <row r="92" spans="1:17" x14ac:dyDescent="0.25">
      <c r="A92" t="s">
        <v>246</v>
      </c>
      <c r="B92" t="s">
        <v>359</v>
      </c>
      <c r="C92" t="s">
        <v>41</v>
      </c>
      <c r="D92">
        <v>45</v>
      </c>
      <c r="E92" t="s">
        <v>35</v>
      </c>
      <c r="F92" t="s">
        <v>380</v>
      </c>
      <c r="G92" t="s">
        <v>352</v>
      </c>
      <c r="H92" s="2">
        <v>46077</v>
      </c>
      <c r="I92" s="2">
        <v>46087</v>
      </c>
      <c r="J92" t="s">
        <v>353</v>
      </c>
      <c r="K92" t="s">
        <v>48</v>
      </c>
      <c r="L92">
        <v>31744</v>
      </c>
      <c r="M92" t="s">
        <v>354</v>
      </c>
      <c r="N92" t="s">
        <v>23</v>
      </c>
      <c r="O92" t="str">
        <f>IF(AND(Table1_1[[#This Row],[Age]]&gt;=60,Table1_1[[#This Row],[Insurance Status]]="Insured"),"senior Eligible","Not Eligible")</f>
        <v>Not Eligible</v>
      </c>
      <c r="P92" t="str">
        <f>IF(OR(Table1_1[[#This Row],[Treatment Cost]]&gt;=20000,Table1_1[[#This Row],[Room Type]]="ICU"),"High Cost","Normal Cost")</f>
        <v>High Cost</v>
      </c>
      <c r="Q92" t="str">
        <f>IF(Table1_1[[#This Row],[Age]]&lt;=18,"Child",IF(Table1_1[[#This Row],[Age]]&lt;=59,"Adult",IF(Table1_1[[#This Row],[Age]]&gt;=60,"Senior")))</f>
        <v>Adult</v>
      </c>
    </row>
    <row r="93" spans="1:17" x14ac:dyDescent="0.25">
      <c r="A93" t="s">
        <v>247</v>
      </c>
      <c r="B93" t="s">
        <v>355</v>
      </c>
      <c r="C93" t="s">
        <v>41</v>
      </c>
      <c r="D93">
        <v>20</v>
      </c>
      <c r="E93" t="s">
        <v>27</v>
      </c>
      <c r="F93" t="s">
        <v>380</v>
      </c>
      <c r="G93" t="s">
        <v>352</v>
      </c>
      <c r="H93" s="2">
        <v>46183</v>
      </c>
      <c r="I93" s="2">
        <v>46188</v>
      </c>
      <c r="J93" t="s">
        <v>362</v>
      </c>
      <c r="K93" t="s">
        <v>48</v>
      </c>
      <c r="L93">
        <v>30724</v>
      </c>
      <c r="M93" t="s">
        <v>358</v>
      </c>
      <c r="N93" t="s">
        <v>39</v>
      </c>
      <c r="O93" t="str">
        <f>IF(AND(Table1_1[[#This Row],[Age]]&gt;=60,Table1_1[[#This Row],[Insurance Status]]="Insured"),"senior Eligible","Not Eligible")</f>
        <v>Not Eligible</v>
      </c>
      <c r="P93" t="str">
        <f>IF(OR(Table1_1[[#This Row],[Treatment Cost]]&gt;=20000,Table1_1[[#This Row],[Room Type]]="ICU"),"High Cost","Normal Cost")</f>
        <v>High Cost</v>
      </c>
      <c r="Q93" t="str">
        <f>IF(Table1_1[[#This Row],[Age]]&lt;=18,"Child",IF(Table1_1[[#This Row],[Age]]&lt;=59,"Adult",IF(Table1_1[[#This Row],[Age]]&gt;=60,"Senior")))</f>
        <v>Adult</v>
      </c>
    </row>
    <row r="94" spans="1:17" x14ac:dyDescent="0.25">
      <c r="A94" t="s">
        <v>295</v>
      </c>
      <c r="B94" t="s">
        <v>361</v>
      </c>
      <c r="C94" t="s">
        <v>41</v>
      </c>
      <c r="D94">
        <v>54</v>
      </c>
      <c r="E94" t="s">
        <v>17</v>
      </c>
      <c r="F94" t="s">
        <v>380</v>
      </c>
      <c r="G94" t="s">
        <v>356</v>
      </c>
      <c r="H94" s="2">
        <v>46180</v>
      </c>
      <c r="I94" s="2">
        <v>46181</v>
      </c>
      <c r="J94" t="s">
        <v>362</v>
      </c>
      <c r="K94" t="s">
        <v>48</v>
      </c>
      <c r="L94">
        <v>30023</v>
      </c>
      <c r="M94" t="s">
        <v>358</v>
      </c>
      <c r="N94" t="s">
        <v>44</v>
      </c>
      <c r="O94" t="str">
        <f>IF(AND(Table1_1[[#This Row],[Age]]&gt;=60,Table1_1[[#This Row],[Insurance Status]]="Insured"),"senior Eligible","Not Eligible")</f>
        <v>Not Eligible</v>
      </c>
      <c r="P94" t="str">
        <f>IF(OR(Table1_1[[#This Row],[Treatment Cost]]&gt;=20000,Table1_1[[#This Row],[Room Type]]="ICU"),"High Cost","Normal Cost")</f>
        <v>High Cost</v>
      </c>
      <c r="Q94" t="str">
        <f>IF(Table1_1[[#This Row],[Age]]&lt;=18,"Child",IF(Table1_1[[#This Row],[Age]]&lt;=59,"Adult",IF(Table1_1[[#This Row],[Age]]&gt;=60,"Senior")))</f>
        <v>Adult</v>
      </c>
    </row>
    <row r="95" spans="1:17" x14ac:dyDescent="0.25">
      <c r="A95" t="s">
        <v>148</v>
      </c>
      <c r="B95" t="s">
        <v>359</v>
      </c>
      <c r="C95" t="s">
        <v>41</v>
      </c>
      <c r="D95">
        <v>37</v>
      </c>
      <c r="E95" t="s">
        <v>35</v>
      </c>
      <c r="F95" t="s">
        <v>380</v>
      </c>
      <c r="G95" t="s">
        <v>352</v>
      </c>
      <c r="H95" s="2">
        <v>46023</v>
      </c>
      <c r="I95" s="2">
        <v>46026</v>
      </c>
      <c r="J95" t="s">
        <v>353</v>
      </c>
      <c r="K95" t="s">
        <v>48</v>
      </c>
      <c r="L95">
        <v>29550</v>
      </c>
      <c r="M95" t="s">
        <v>358</v>
      </c>
      <c r="N95" t="s">
        <v>44</v>
      </c>
      <c r="O95" t="str">
        <f>IF(AND(Table1_1[[#This Row],[Age]]&gt;=60,Table1_1[[#This Row],[Insurance Status]]="Insured"),"senior Eligible","Not Eligible")</f>
        <v>Not Eligible</v>
      </c>
      <c r="P95" t="str">
        <f>IF(OR(Table1_1[[#This Row],[Treatment Cost]]&gt;=20000,Table1_1[[#This Row],[Room Type]]="ICU"),"High Cost","Normal Cost")</f>
        <v>High Cost</v>
      </c>
      <c r="Q95" t="str">
        <f>IF(Table1_1[[#This Row],[Age]]&lt;=18,"Child",IF(Table1_1[[#This Row],[Age]]&lt;=59,"Adult",IF(Table1_1[[#This Row],[Age]]&gt;=60,"Senior")))</f>
        <v>Adult</v>
      </c>
    </row>
    <row r="96" spans="1:17" x14ac:dyDescent="0.25">
      <c r="A96" t="s">
        <v>87</v>
      </c>
      <c r="B96" t="s">
        <v>364</v>
      </c>
      <c r="C96" t="s">
        <v>56</v>
      </c>
      <c r="D96">
        <v>35</v>
      </c>
      <c r="E96" t="s">
        <v>27</v>
      </c>
      <c r="F96" t="s">
        <v>380</v>
      </c>
      <c r="G96" t="s">
        <v>352</v>
      </c>
      <c r="H96" s="2">
        <v>46150</v>
      </c>
      <c r="I96" s="2">
        <v>46151</v>
      </c>
      <c r="J96" t="s">
        <v>357</v>
      </c>
      <c r="K96" t="s">
        <v>31</v>
      </c>
      <c r="L96">
        <v>29270</v>
      </c>
      <c r="M96" t="s">
        <v>354</v>
      </c>
      <c r="N96" t="s">
        <v>39</v>
      </c>
      <c r="O96" t="str">
        <f>IF(AND(Table1_1[[#This Row],[Age]]&gt;=60,Table1_1[[#This Row],[Insurance Status]]="Insured"),"senior Eligible","Not Eligible")</f>
        <v>Not Eligible</v>
      </c>
      <c r="P96" t="str">
        <f>IF(OR(Table1_1[[#This Row],[Treatment Cost]]&gt;=20000,Table1_1[[#This Row],[Room Type]]="ICU"),"High Cost","Normal Cost")</f>
        <v>High Cost</v>
      </c>
      <c r="Q96" t="str">
        <f>IF(Table1_1[[#This Row],[Age]]&lt;=18,"Child",IF(Table1_1[[#This Row],[Age]]&lt;=59,"Adult",IF(Table1_1[[#This Row],[Age]]&gt;=60,"Senior")))</f>
        <v>Adult</v>
      </c>
    </row>
    <row r="97" spans="1:17" x14ac:dyDescent="0.25">
      <c r="A97" t="s">
        <v>136</v>
      </c>
      <c r="B97" t="s">
        <v>351</v>
      </c>
      <c r="C97" t="s">
        <v>56</v>
      </c>
      <c r="D97">
        <v>64</v>
      </c>
      <c r="E97" t="s">
        <v>47</v>
      </c>
      <c r="F97" t="s">
        <v>380</v>
      </c>
      <c r="G97" t="s">
        <v>352</v>
      </c>
      <c r="H97" s="2">
        <v>46129</v>
      </c>
      <c r="I97" s="2">
        <v>46135</v>
      </c>
      <c r="J97" t="s">
        <v>362</v>
      </c>
      <c r="K97" t="s">
        <v>48</v>
      </c>
      <c r="L97">
        <v>28354</v>
      </c>
      <c r="M97" t="s">
        <v>358</v>
      </c>
      <c r="N97" t="s">
        <v>44</v>
      </c>
      <c r="O97" t="str">
        <f>IF(AND(Table1_1[[#This Row],[Age]]&gt;=60,Table1_1[[#This Row],[Insurance Status]]="Insured"),"senior Eligible","Not Eligible")</f>
        <v>senior Eligible</v>
      </c>
      <c r="P97" t="str">
        <f>IF(OR(Table1_1[[#This Row],[Treatment Cost]]&gt;=20000,Table1_1[[#This Row],[Room Type]]="ICU"),"High Cost","Normal Cost")</f>
        <v>High Cost</v>
      </c>
      <c r="Q97" t="str">
        <f>IF(Table1_1[[#This Row],[Age]]&lt;=18,"Child",IF(Table1_1[[#This Row],[Age]]&lt;=59,"Adult",IF(Table1_1[[#This Row],[Age]]&gt;=60,"Senior")))</f>
        <v>Senior</v>
      </c>
    </row>
    <row r="98" spans="1:17" x14ac:dyDescent="0.25">
      <c r="A98" t="s">
        <v>113</v>
      </c>
      <c r="B98" t="s">
        <v>355</v>
      </c>
      <c r="C98" t="s">
        <v>56</v>
      </c>
      <c r="D98">
        <v>70</v>
      </c>
      <c r="E98" t="s">
        <v>27</v>
      </c>
      <c r="F98" t="s">
        <v>380</v>
      </c>
      <c r="G98" t="s">
        <v>54</v>
      </c>
      <c r="H98" s="2">
        <v>46105</v>
      </c>
      <c r="I98" s="2">
        <v>46110</v>
      </c>
      <c r="J98" t="s">
        <v>353</v>
      </c>
      <c r="K98" t="s">
        <v>37</v>
      </c>
      <c r="L98">
        <v>28192</v>
      </c>
      <c r="M98" t="s">
        <v>358</v>
      </c>
      <c r="N98" t="s">
        <v>39</v>
      </c>
      <c r="O98" t="str">
        <f>IF(AND(Table1_1[[#This Row],[Age]]&gt;=60,Table1_1[[#This Row],[Insurance Status]]="Insured"),"senior Eligible","Not Eligible")</f>
        <v>senior Eligible</v>
      </c>
      <c r="P98" t="str">
        <f>IF(OR(Table1_1[[#This Row],[Treatment Cost]]&gt;=20000,Table1_1[[#This Row],[Room Type]]="ICU"),"High Cost","Normal Cost")</f>
        <v>High Cost</v>
      </c>
      <c r="Q98" t="str">
        <f>IF(Table1_1[[#This Row],[Age]]&lt;=18,"Child",IF(Table1_1[[#This Row],[Age]]&lt;=59,"Adult",IF(Table1_1[[#This Row],[Age]]&gt;=60,"Senior")))</f>
        <v>Senior</v>
      </c>
    </row>
    <row r="99" spans="1:17" x14ac:dyDescent="0.25">
      <c r="A99" t="s">
        <v>342</v>
      </c>
      <c r="B99" t="s">
        <v>361</v>
      </c>
      <c r="C99" t="s">
        <v>56</v>
      </c>
      <c r="D99">
        <v>61</v>
      </c>
      <c r="E99" t="s">
        <v>27</v>
      </c>
      <c r="F99" t="s">
        <v>380</v>
      </c>
      <c r="G99" t="s">
        <v>356</v>
      </c>
      <c r="H99" s="2">
        <v>46133</v>
      </c>
      <c r="I99" s="2">
        <v>46140</v>
      </c>
      <c r="J99" t="s">
        <v>357</v>
      </c>
      <c r="K99" t="s">
        <v>21</v>
      </c>
      <c r="L99">
        <v>26336</v>
      </c>
      <c r="M99" t="s">
        <v>354</v>
      </c>
      <c r="N99" t="s">
        <v>39</v>
      </c>
      <c r="O99" t="str">
        <f>IF(AND(Table1_1[[#This Row],[Age]]&gt;=60,Table1_1[[#This Row],[Insurance Status]]="Insured"),"senior Eligible","Not Eligible")</f>
        <v>Not Eligible</v>
      </c>
      <c r="P99" t="str">
        <f>IF(OR(Table1_1[[#This Row],[Treatment Cost]]&gt;=20000,Table1_1[[#This Row],[Room Type]]="ICU"),"High Cost","Normal Cost")</f>
        <v>High Cost</v>
      </c>
      <c r="Q99" t="str">
        <f>IF(Table1_1[[#This Row],[Age]]&lt;=18,"Child",IF(Table1_1[[#This Row],[Age]]&lt;=59,"Adult",IF(Table1_1[[#This Row],[Age]]&gt;=60,"Senior")))</f>
        <v>Senior</v>
      </c>
    </row>
    <row r="100" spans="1:17" x14ac:dyDescent="0.25">
      <c r="A100" t="s">
        <v>235</v>
      </c>
      <c r="B100" t="s">
        <v>364</v>
      </c>
      <c r="C100" t="s">
        <v>56</v>
      </c>
      <c r="D100">
        <v>41</v>
      </c>
      <c r="E100" t="s">
        <v>17</v>
      </c>
      <c r="F100" t="s">
        <v>380</v>
      </c>
      <c r="G100" t="s">
        <v>360</v>
      </c>
      <c r="H100" s="2">
        <v>46081</v>
      </c>
      <c r="I100" s="2">
        <v>46090</v>
      </c>
      <c r="J100" t="s">
        <v>357</v>
      </c>
      <c r="K100" t="s">
        <v>37</v>
      </c>
      <c r="L100">
        <v>26093</v>
      </c>
      <c r="M100" t="s">
        <v>358</v>
      </c>
      <c r="N100" t="s">
        <v>44</v>
      </c>
      <c r="O100" t="str">
        <f>IF(AND(Table1_1[[#This Row],[Age]]&gt;=60,Table1_1[[#This Row],[Insurance Status]]="Insured"),"senior Eligible","Not Eligible")</f>
        <v>Not Eligible</v>
      </c>
      <c r="P100" t="str">
        <f>IF(OR(Table1_1[[#This Row],[Treatment Cost]]&gt;=20000,Table1_1[[#This Row],[Room Type]]="ICU"),"High Cost","Normal Cost")</f>
        <v>High Cost</v>
      </c>
      <c r="Q100" t="str">
        <f>IF(Table1_1[[#This Row],[Age]]&lt;=18,"Child",IF(Table1_1[[#This Row],[Age]]&lt;=59,"Adult",IF(Table1_1[[#This Row],[Age]]&gt;=60,"Senior")))</f>
        <v>Adult</v>
      </c>
    </row>
    <row r="101" spans="1:17" x14ac:dyDescent="0.25">
      <c r="A101" t="s">
        <v>245</v>
      </c>
      <c r="B101" t="s">
        <v>364</v>
      </c>
      <c r="C101" t="s">
        <v>56</v>
      </c>
      <c r="D101">
        <v>45</v>
      </c>
      <c r="E101" t="s">
        <v>17</v>
      </c>
      <c r="F101" t="s">
        <v>380</v>
      </c>
      <c r="G101" t="s">
        <v>54</v>
      </c>
      <c r="H101" s="2">
        <v>46180</v>
      </c>
      <c r="I101" s="2">
        <v>46190</v>
      </c>
      <c r="J101" t="s">
        <v>357</v>
      </c>
      <c r="K101" t="s">
        <v>37</v>
      </c>
      <c r="L101">
        <v>21979</v>
      </c>
      <c r="M101" t="s">
        <v>354</v>
      </c>
      <c r="N101" t="s">
        <v>39</v>
      </c>
      <c r="O101" t="str">
        <f>IF(AND(Table1_1[[#This Row],[Age]]&gt;=60,Table1_1[[#This Row],[Insurance Status]]="Insured"),"senior Eligible","Not Eligible")</f>
        <v>Not Eligible</v>
      </c>
      <c r="P101" t="str">
        <f>IF(OR(Table1_1[[#This Row],[Treatment Cost]]&gt;=20000,Table1_1[[#This Row],[Room Type]]="ICU"),"High Cost","Normal Cost")</f>
        <v>High Cost</v>
      </c>
      <c r="Q101" t="str">
        <f>IF(Table1_1[[#This Row],[Age]]&lt;=18,"Child",IF(Table1_1[[#This Row],[Age]]&lt;=59,"Adult",IF(Table1_1[[#This Row],[Age]]&gt;=60,"Senior")))</f>
        <v>Adult</v>
      </c>
    </row>
    <row r="102" spans="1:17" x14ac:dyDescent="0.25">
      <c r="A102" t="s">
        <v>182</v>
      </c>
      <c r="B102" t="s">
        <v>359</v>
      </c>
      <c r="C102" t="s">
        <v>56</v>
      </c>
      <c r="D102">
        <v>84</v>
      </c>
      <c r="E102" t="s">
        <v>47</v>
      </c>
      <c r="F102" t="s">
        <v>380</v>
      </c>
      <c r="G102" t="s">
        <v>352</v>
      </c>
      <c r="H102" s="2">
        <v>46200</v>
      </c>
      <c r="I102" s="2">
        <v>46208</v>
      </c>
      <c r="J102" t="s">
        <v>362</v>
      </c>
      <c r="K102" t="s">
        <v>31</v>
      </c>
      <c r="L102">
        <v>21297</v>
      </c>
      <c r="M102" t="s">
        <v>358</v>
      </c>
      <c r="N102" t="s">
        <v>44</v>
      </c>
      <c r="O102" t="str">
        <f>IF(AND(Table1_1[[#This Row],[Age]]&gt;=60,Table1_1[[#This Row],[Insurance Status]]="Insured"),"senior Eligible","Not Eligible")</f>
        <v>senior Eligible</v>
      </c>
      <c r="P102" t="str">
        <f>IF(OR(Table1_1[[#This Row],[Treatment Cost]]&gt;=20000,Table1_1[[#This Row],[Room Type]]="ICU"),"High Cost","Normal Cost")</f>
        <v>High Cost</v>
      </c>
      <c r="Q102" t="str">
        <f>IF(Table1_1[[#This Row],[Age]]&lt;=18,"Child",IF(Table1_1[[#This Row],[Age]]&lt;=59,"Adult",IF(Table1_1[[#This Row],[Age]]&gt;=60,"Senior")))</f>
        <v>Senior</v>
      </c>
    </row>
    <row r="103" spans="1:17" x14ac:dyDescent="0.25">
      <c r="A103" t="s">
        <v>286</v>
      </c>
      <c r="B103" t="s">
        <v>364</v>
      </c>
      <c r="C103" t="s">
        <v>41</v>
      </c>
      <c r="D103">
        <v>71</v>
      </c>
      <c r="E103" t="s">
        <v>47</v>
      </c>
      <c r="F103" t="s">
        <v>380</v>
      </c>
      <c r="G103" t="s">
        <v>356</v>
      </c>
      <c r="H103" s="2">
        <v>46168</v>
      </c>
      <c r="I103" s="2">
        <v>46171</v>
      </c>
      <c r="J103" t="s">
        <v>353</v>
      </c>
      <c r="K103" t="s">
        <v>31</v>
      </c>
      <c r="L103">
        <v>20932</v>
      </c>
      <c r="M103" t="s">
        <v>354</v>
      </c>
      <c r="N103" t="s">
        <v>44</v>
      </c>
      <c r="O103" t="str">
        <f>IF(AND(Table1_1[[#This Row],[Age]]&gt;=60,Table1_1[[#This Row],[Insurance Status]]="Insured"),"senior Eligible","Not Eligible")</f>
        <v>Not Eligible</v>
      </c>
      <c r="P103" t="str">
        <f>IF(OR(Table1_1[[#This Row],[Treatment Cost]]&gt;=20000,Table1_1[[#This Row],[Room Type]]="ICU"),"High Cost","Normal Cost")</f>
        <v>High Cost</v>
      </c>
      <c r="Q103" t="str">
        <f>IF(Table1_1[[#This Row],[Age]]&lt;=18,"Child",IF(Table1_1[[#This Row],[Age]]&lt;=59,"Adult",IF(Table1_1[[#This Row],[Age]]&gt;=60,"Senior")))</f>
        <v>Senior</v>
      </c>
    </row>
    <row r="104" spans="1:17" x14ac:dyDescent="0.25">
      <c r="A104" t="s">
        <v>24</v>
      </c>
      <c r="B104" t="s">
        <v>355</v>
      </c>
      <c r="C104" t="s">
        <v>56</v>
      </c>
      <c r="D104">
        <v>74</v>
      </c>
      <c r="E104" t="s">
        <v>27</v>
      </c>
      <c r="F104" t="s">
        <v>380</v>
      </c>
      <c r="G104" t="s">
        <v>356</v>
      </c>
      <c r="H104" s="2">
        <v>46108</v>
      </c>
      <c r="I104" s="2">
        <v>46115</v>
      </c>
      <c r="J104" t="s">
        <v>357</v>
      </c>
      <c r="K104" t="s">
        <v>31</v>
      </c>
      <c r="L104">
        <v>20689</v>
      </c>
      <c r="M104" t="s">
        <v>354</v>
      </c>
      <c r="N104" t="s">
        <v>23</v>
      </c>
      <c r="O104" t="str">
        <f>IF(AND(Table1_1[[#This Row],[Age]]&gt;=60,Table1_1[[#This Row],[Insurance Status]]="Insured"),"senior Eligible","Not Eligible")</f>
        <v>Not Eligible</v>
      </c>
      <c r="P104" t="str">
        <f>IF(OR(Table1_1[[#This Row],[Treatment Cost]]&gt;=20000,Table1_1[[#This Row],[Room Type]]="ICU"),"High Cost","Normal Cost")</f>
        <v>High Cost</v>
      </c>
      <c r="Q104" t="str">
        <f>IF(Table1_1[[#This Row],[Age]]&lt;=18,"Child",IF(Table1_1[[#This Row],[Age]]&lt;=59,"Adult",IF(Table1_1[[#This Row],[Age]]&gt;=60,"Senior")))</f>
        <v>Senior</v>
      </c>
    </row>
    <row r="105" spans="1:17" x14ac:dyDescent="0.25">
      <c r="A105" t="s">
        <v>271</v>
      </c>
      <c r="B105" t="s">
        <v>363</v>
      </c>
      <c r="C105" t="s">
        <v>56</v>
      </c>
      <c r="D105">
        <v>69</v>
      </c>
      <c r="E105" t="s">
        <v>47</v>
      </c>
      <c r="F105" t="s">
        <v>380</v>
      </c>
      <c r="G105" t="s">
        <v>352</v>
      </c>
      <c r="H105" s="2">
        <v>46096</v>
      </c>
      <c r="I105" s="2">
        <v>46106</v>
      </c>
      <c r="J105" t="s">
        <v>357</v>
      </c>
      <c r="K105" t="s">
        <v>37</v>
      </c>
      <c r="L105">
        <v>20683</v>
      </c>
      <c r="M105" t="s">
        <v>354</v>
      </c>
      <c r="N105" t="s">
        <v>44</v>
      </c>
      <c r="O105" t="str">
        <f>IF(AND(Table1_1[[#This Row],[Age]]&gt;=60,Table1_1[[#This Row],[Insurance Status]]="Insured"),"senior Eligible","Not Eligible")</f>
        <v>Not Eligible</v>
      </c>
      <c r="P105" t="str">
        <f>IF(OR(Table1_1[[#This Row],[Treatment Cost]]&gt;=20000,Table1_1[[#This Row],[Room Type]]="ICU"),"High Cost","Normal Cost")</f>
        <v>High Cost</v>
      </c>
      <c r="Q105" t="str">
        <f>IF(Table1_1[[#This Row],[Age]]&lt;=18,"Child",IF(Table1_1[[#This Row],[Age]]&lt;=59,"Adult",IF(Table1_1[[#This Row],[Age]]&gt;=60,"Senior")))</f>
        <v>Senior</v>
      </c>
    </row>
    <row r="106" spans="1:17" x14ac:dyDescent="0.25">
      <c r="A106" t="s">
        <v>120</v>
      </c>
      <c r="B106" t="s">
        <v>363</v>
      </c>
      <c r="C106" t="s">
        <v>41</v>
      </c>
      <c r="D106">
        <v>79</v>
      </c>
      <c r="E106" t="s">
        <v>35</v>
      </c>
      <c r="F106" t="s">
        <v>380</v>
      </c>
      <c r="G106" t="s">
        <v>54</v>
      </c>
      <c r="H106" s="2">
        <v>46049</v>
      </c>
      <c r="I106" s="2">
        <v>46051</v>
      </c>
      <c r="J106" t="s">
        <v>362</v>
      </c>
      <c r="K106" t="s">
        <v>48</v>
      </c>
      <c r="L106">
        <v>20634</v>
      </c>
      <c r="M106" t="s">
        <v>354</v>
      </c>
      <c r="N106" t="s">
        <v>23</v>
      </c>
      <c r="O106" t="str">
        <f>IF(AND(Table1_1[[#This Row],[Age]]&gt;=60,Table1_1[[#This Row],[Insurance Status]]="Insured"),"senior Eligible","Not Eligible")</f>
        <v>Not Eligible</v>
      </c>
      <c r="P106" t="str">
        <f>IF(OR(Table1_1[[#This Row],[Treatment Cost]]&gt;=20000,Table1_1[[#This Row],[Room Type]]="ICU"),"High Cost","Normal Cost")</f>
        <v>High Cost</v>
      </c>
      <c r="Q106" t="str">
        <f>IF(Table1_1[[#This Row],[Age]]&lt;=18,"Child",IF(Table1_1[[#This Row],[Age]]&lt;=59,"Adult",IF(Table1_1[[#This Row],[Age]]&gt;=60,"Senior")))</f>
        <v>Senior</v>
      </c>
    </row>
    <row r="107" spans="1:17" x14ac:dyDescent="0.25">
      <c r="A107" t="s">
        <v>203</v>
      </c>
      <c r="B107" t="s">
        <v>351</v>
      </c>
      <c r="C107" t="s">
        <v>41</v>
      </c>
      <c r="D107">
        <v>67</v>
      </c>
      <c r="E107" t="s">
        <v>17</v>
      </c>
      <c r="F107" t="s">
        <v>380</v>
      </c>
      <c r="G107" t="s">
        <v>356</v>
      </c>
      <c r="H107" s="2">
        <v>46037</v>
      </c>
      <c r="I107" s="2">
        <v>46038</v>
      </c>
      <c r="J107" t="s">
        <v>353</v>
      </c>
      <c r="K107" t="s">
        <v>37</v>
      </c>
      <c r="L107">
        <v>20306</v>
      </c>
      <c r="M107" t="s">
        <v>354</v>
      </c>
      <c r="N107" t="s">
        <v>39</v>
      </c>
      <c r="O107" t="str">
        <f>IF(AND(Table1_1[[#This Row],[Age]]&gt;=60,Table1_1[[#This Row],[Insurance Status]]="Insured"),"senior Eligible","Not Eligible")</f>
        <v>Not Eligible</v>
      </c>
      <c r="P107" t="str">
        <f>IF(OR(Table1_1[[#This Row],[Treatment Cost]]&gt;=20000,Table1_1[[#This Row],[Room Type]]="ICU"),"High Cost","Normal Cost")</f>
        <v>High Cost</v>
      </c>
      <c r="Q107" t="str">
        <f>IF(Table1_1[[#This Row],[Age]]&lt;=18,"Child",IF(Table1_1[[#This Row],[Age]]&lt;=59,"Adult",IF(Table1_1[[#This Row],[Age]]&gt;=60,"Senior")))</f>
        <v>Senior</v>
      </c>
    </row>
    <row r="108" spans="1:17" x14ac:dyDescent="0.25">
      <c r="A108" t="s">
        <v>313</v>
      </c>
      <c r="B108" t="s">
        <v>363</v>
      </c>
      <c r="C108" t="s">
        <v>56</v>
      </c>
      <c r="D108">
        <v>48</v>
      </c>
      <c r="E108" t="s">
        <v>17</v>
      </c>
      <c r="F108" t="s">
        <v>380</v>
      </c>
      <c r="G108" t="s">
        <v>352</v>
      </c>
      <c r="H108" s="2">
        <v>46040</v>
      </c>
      <c r="I108" s="2">
        <v>46046</v>
      </c>
      <c r="J108" t="s">
        <v>362</v>
      </c>
      <c r="K108" t="s">
        <v>48</v>
      </c>
      <c r="L108">
        <v>20208</v>
      </c>
      <c r="M108" t="s">
        <v>354</v>
      </c>
      <c r="N108" t="s">
        <v>44</v>
      </c>
      <c r="O108" t="str">
        <f>IF(AND(Table1_1[[#This Row],[Age]]&gt;=60,Table1_1[[#This Row],[Insurance Status]]="Insured"),"senior Eligible","Not Eligible")</f>
        <v>Not Eligible</v>
      </c>
      <c r="P108" t="str">
        <f>IF(OR(Table1_1[[#This Row],[Treatment Cost]]&gt;=20000,Table1_1[[#This Row],[Room Type]]="ICU"),"High Cost","Normal Cost")</f>
        <v>High Cost</v>
      </c>
      <c r="Q108" t="str">
        <f>IF(Table1_1[[#This Row],[Age]]&lt;=18,"Child",IF(Table1_1[[#This Row],[Age]]&lt;=59,"Adult",IF(Table1_1[[#This Row],[Age]]&gt;=60,"Senior")))</f>
        <v>Adult</v>
      </c>
    </row>
    <row r="109" spans="1:17" x14ac:dyDescent="0.25">
      <c r="A109" t="s">
        <v>76</v>
      </c>
      <c r="B109" t="s">
        <v>355</v>
      </c>
      <c r="C109" t="s">
        <v>41</v>
      </c>
      <c r="D109">
        <v>85</v>
      </c>
      <c r="E109" t="s">
        <v>35</v>
      </c>
      <c r="F109" t="s">
        <v>380</v>
      </c>
      <c r="G109" t="s">
        <v>360</v>
      </c>
      <c r="H109" s="2">
        <v>46125</v>
      </c>
      <c r="I109" s="2">
        <v>46126</v>
      </c>
      <c r="J109" t="s">
        <v>357</v>
      </c>
      <c r="K109" t="s">
        <v>21</v>
      </c>
      <c r="L109">
        <v>19972</v>
      </c>
      <c r="M109" t="s">
        <v>354</v>
      </c>
      <c r="N109" t="s">
        <v>39</v>
      </c>
      <c r="O109" t="str">
        <f>IF(AND(Table1_1[[#This Row],[Age]]&gt;=60,Table1_1[[#This Row],[Insurance Status]]="Insured"),"senior Eligible","Not Eligible")</f>
        <v>Not Eligible</v>
      </c>
      <c r="P109" t="str">
        <f>IF(OR(Table1_1[[#This Row],[Treatment Cost]]&gt;=20000,Table1_1[[#This Row],[Room Type]]="ICU"),"High Cost","Normal Cost")</f>
        <v>High Cost</v>
      </c>
      <c r="Q109" t="str">
        <f>IF(Table1_1[[#This Row],[Age]]&lt;=18,"Child",IF(Table1_1[[#This Row],[Age]]&lt;=59,"Adult",IF(Table1_1[[#This Row],[Age]]&gt;=60,"Senior")))</f>
        <v>Senior</v>
      </c>
    </row>
    <row r="110" spans="1:17" x14ac:dyDescent="0.25">
      <c r="A110" t="s">
        <v>71</v>
      </c>
      <c r="B110" t="s">
        <v>351</v>
      </c>
      <c r="C110" t="s">
        <v>41</v>
      </c>
      <c r="D110">
        <v>79</v>
      </c>
      <c r="E110" t="s">
        <v>47</v>
      </c>
      <c r="F110" t="s">
        <v>380</v>
      </c>
      <c r="G110" t="s">
        <v>54</v>
      </c>
      <c r="H110" s="2">
        <v>46143</v>
      </c>
      <c r="I110" s="2">
        <v>46145</v>
      </c>
      <c r="J110" t="s">
        <v>362</v>
      </c>
      <c r="K110" t="s">
        <v>31</v>
      </c>
      <c r="L110">
        <v>17198</v>
      </c>
      <c r="M110" t="s">
        <v>354</v>
      </c>
      <c r="N110" t="s">
        <v>39</v>
      </c>
      <c r="O110" t="str">
        <f>IF(AND(Table1_1[[#This Row],[Age]]&gt;=60,Table1_1[[#This Row],[Insurance Status]]="Insured"),"senior Eligible","Not Eligible")</f>
        <v>Not Eligible</v>
      </c>
      <c r="P110" t="str">
        <f>IF(OR(Table1_1[[#This Row],[Treatment Cost]]&gt;=20000,Table1_1[[#This Row],[Room Type]]="ICU"),"High Cost","Normal Cost")</f>
        <v>High Cost</v>
      </c>
      <c r="Q110" t="str">
        <f>IF(Table1_1[[#This Row],[Age]]&lt;=18,"Child",IF(Table1_1[[#This Row],[Age]]&lt;=59,"Adult",IF(Table1_1[[#This Row],[Age]]&gt;=60,"Senior")))</f>
        <v>Senior</v>
      </c>
    </row>
    <row r="111" spans="1:17" x14ac:dyDescent="0.25">
      <c r="A111" t="s">
        <v>307</v>
      </c>
      <c r="B111" t="s">
        <v>361</v>
      </c>
      <c r="C111" t="s">
        <v>41</v>
      </c>
      <c r="D111">
        <v>25</v>
      </c>
      <c r="E111" t="s">
        <v>17</v>
      </c>
      <c r="F111" t="s">
        <v>380</v>
      </c>
      <c r="G111" t="s">
        <v>356</v>
      </c>
      <c r="H111" s="2">
        <v>46023</v>
      </c>
      <c r="I111" s="2">
        <v>46031</v>
      </c>
      <c r="J111" t="s">
        <v>357</v>
      </c>
      <c r="K111" t="s">
        <v>48</v>
      </c>
      <c r="L111">
        <v>16793</v>
      </c>
      <c r="M111" t="s">
        <v>358</v>
      </c>
      <c r="N111" t="s">
        <v>44</v>
      </c>
      <c r="O111" t="str">
        <f>IF(AND(Table1_1[[#This Row],[Age]]&gt;=60,Table1_1[[#This Row],[Insurance Status]]="Insured"),"senior Eligible","Not Eligible")</f>
        <v>Not Eligible</v>
      </c>
      <c r="P111" t="str">
        <f>IF(OR(Table1_1[[#This Row],[Treatment Cost]]&gt;=20000,Table1_1[[#This Row],[Room Type]]="ICU"),"High Cost","Normal Cost")</f>
        <v>Normal Cost</v>
      </c>
      <c r="Q111" t="str">
        <f>IF(Table1_1[[#This Row],[Age]]&lt;=18,"Child",IF(Table1_1[[#This Row],[Age]]&lt;=59,"Adult",IF(Table1_1[[#This Row],[Age]]&gt;=60,"Senior")))</f>
        <v>Adult</v>
      </c>
    </row>
    <row r="112" spans="1:17" x14ac:dyDescent="0.25">
      <c r="A112" t="s">
        <v>276</v>
      </c>
      <c r="B112" t="s">
        <v>363</v>
      </c>
      <c r="C112" t="s">
        <v>41</v>
      </c>
      <c r="D112">
        <v>29</v>
      </c>
      <c r="E112" t="s">
        <v>47</v>
      </c>
      <c r="F112" t="s">
        <v>380</v>
      </c>
      <c r="G112" t="s">
        <v>356</v>
      </c>
      <c r="H112" s="2">
        <v>46145</v>
      </c>
      <c r="I112" s="2">
        <v>46151</v>
      </c>
      <c r="J112" t="s">
        <v>357</v>
      </c>
      <c r="K112" t="s">
        <v>21</v>
      </c>
      <c r="L112">
        <v>16651</v>
      </c>
      <c r="M112" t="s">
        <v>358</v>
      </c>
      <c r="N112" t="s">
        <v>39</v>
      </c>
      <c r="O112" t="str">
        <f>IF(AND(Table1_1[[#This Row],[Age]]&gt;=60,Table1_1[[#This Row],[Insurance Status]]="Insured"),"senior Eligible","Not Eligible")</f>
        <v>Not Eligible</v>
      </c>
      <c r="P112" t="str">
        <f>IF(OR(Table1_1[[#This Row],[Treatment Cost]]&gt;=20000,Table1_1[[#This Row],[Room Type]]="ICU"),"High Cost","Normal Cost")</f>
        <v>High Cost</v>
      </c>
      <c r="Q112" t="str">
        <f>IF(Table1_1[[#This Row],[Age]]&lt;=18,"Child",IF(Table1_1[[#This Row],[Age]]&lt;=59,"Adult",IF(Table1_1[[#This Row],[Age]]&gt;=60,"Senior")))</f>
        <v>Adult</v>
      </c>
    </row>
    <row r="113" spans="1:17" x14ac:dyDescent="0.25">
      <c r="A113" t="s">
        <v>240</v>
      </c>
      <c r="B113" t="s">
        <v>363</v>
      </c>
      <c r="C113" t="s">
        <v>56</v>
      </c>
      <c r="D113">
        <v>41</v>
      </c>
      <c r="E113" t="s">
        <v>35</v>
      </c>
      <c r="F113" t="s">
        <v>380</v>
      </c>
      <c r="G113" t="s">
        <v>360</v>
      </c>
      <c r="H113" s="2">
        <v>46127</v>
      </c>
      <c r="I113" s="2">
        <v>46135</v>
      </c>
      <c r="J113" t="s">
        <v>357</v>
      </c>
      <c r="K113" t="s">
        <v>37</v>
      </c>
      <c r="L113">
        <v>16034</v>
      </c>
      <c r="M113" t="s">
        <v>354</v>
      </c>
      <c r="N113" t="s">
        <v>39</v>
      </c>
      <c r="O113" t="str">
        <f>IF(AND(Table1_1[[#This Row],[Age]]&gt;=60,Table1_1[[#This Row],[Insurance Status]]="Insured"),"senior Eligible","Not Eligible")</f>
        <v>Not Eligible</v>
      </c>
      <c r="P113" t="str">
        <f>IF(OR(Table1_1[[#This Row],[Treatment Cost]]&gt;=20000,Table1_1[[#This Row],[Room Type]]="ICU"),"High Cost","Normal Cost")</f>
        <v>High Cost</v>
      </c>
      <c r="Q113" t="str">
        <f>IF(Table1_1[[#This Row],[Age]]&lt;=18,"Child",IF(Table1_1[[#This Row],[Age]]&lt;=59,"Adult",IF(Table1_1[[#This Row],[Age]]&gt;=60,"Senior")))</f>
        <v>Adult</v>
      </c>
    </row>
    <row r="114" spans="1:17" x14ac:dyDescent="0.25">
      <c r="A114" t="s">
        <v>320</v>
      </c>
      <c r="B114" t="s">
        <v>363</v>
      </c>
      <c r="C114" t="s">
        <v>41</v>
      </c>
      <c r="D114">
        <v>27</v>
      </c>
      <c r="E114" t="s">
        <v>17</v>
      </c>
      <c r="F114" t="s">
        <v>380</v>
      </c>
      <c r="G114" t="s">
        <v>352</v>
      </c>
      <c r="H114" s="2">
        <v>46192</v>
      </c>
      <c r="I114" s="2">
        <v>46193</v>
      </c>
      <c r="J114" t="s">
        <v>353</v>
      </c>
      <c r="K114" t="s">
        <v>31</v>
      </c>
      <c r="L114">
        <v>15531</v>
      </c>
      <c r="M114" t="s">
        <v>354</v>
      </c>
      <c r="N114" t="s">
        <v>39</v>
      </c>
      <c r="O114" t="str">
        <f>IF(AND(Table1_1[[#This Row],[Age]]&gt;=60,Table1_1[[#This Row],[Insurance Status]]="Insured"),"senior Eligible","Not Eligible")</f>
        <v>Not Eligible</v>
      </c>
      <c r="P114" t="str">
        <f>IF(OR(Table1_1[[#This Row],[Treatment Cost]]&gt;=20000,Table1_1[[#This Row],[Room Type]]="ICU"),"High Cost","Normal Cost")</f>
        <v>High Cost</v>
      </c>
      <c r="Q114" t="str">
        <f>IF(Table1_1[[#This Row],[Age]]&lt;=18,"Child",IF(Table1_1[[#This Row],[Age]]&lt;=59,"Adult",IF(Table1_1[[#This Row],[Age]]&gt;=60,"Senior")))</f>
        <v>Adult</v>
      </c>
    </row>
    <row r="115" spans="1:17" x14ac:dyDescent="0.25">
      <c r="A115" t="s">
        <v>218</v>
      </c>
      <c r="B115" t="s">
        <v>351</v>
      </c>
      <c r="C115" t="s">
        <v>56</v>
      </c>
      <c r="D115">
        <v>54</v>
      </c>
      <c r="E115" t="s">
        <v>27</v>
      </c>
      <c r="F115" t="s">
        <v>380</v>
      </c>
      <c r="G115" t="s">
        <v>360</v>
      </c>
      <c r="H115" s="2">
        <v>46146</v>
      </c>
      <c r="I115" s="2">
        <v>46148</v>
      </c>
      <c r="J115" t="s">
        <v>357</v>
      </c>
      <c r="K115" t="s">
        <v>31</v>
      </c>
      <c r="L115">
        <v>14589</v>
      </c>
      <c r="M115" t="s">
        <v>354</v>
      </c>
      <c r="N115" t="s">
        <v>39</v>
      </c>
      <c r="O115" t="str">
        <f>IF(AND(Table1_1[[#This Row],[Age]]&gt;=60,Table1_1[[#This Row],[Insurance Status]]="Insured"),"senior Eligible","Not Eligible")</f>
        <v>Not Eligible</v>
      </c>
      <c r="P115" t="str">
        <f>IF(OR(Table1_1[[#This Row],[Treatment Cost]]&gt;=20000,Table1_1[[#This Row],[Room Type]]="ICU"),"High Cost","Normal Cost")</f>
        <v>High Cost</v>
      </c>
      <c r="Q115" t="str">
        <f>IF(Table1_1[[#This Row],[Age]]&lt;=18,"Child",IF(Table1_1[[#This Row],[Age]]&lt;=59,"Adult",IF(Table1_1[[#This Row],[Age]]&gt;=60,"Senior")))</f>
        <v>Adult</v>
      </c>
    </row>
    <row r="116" spans="1:17" x14ac:dyDescent="0.25">
      <c r="A116" t="s">
        <v>314</v>
      </c>
      <c r="B116" t="s">
        <v>359</v>
      </c>
      <c r="C116" t="s">
        <v>41</v>
      </c>
      <c r="D116">
        <v>22</v>
      </c>
      <c r="E116" t="s">
        <v>35</v>
      </c>
      <c r="F116" t="s">
        <v>380</v>
      </c>
      <c r="G116" t="s">
        <v>352</v>
      </c>
      <c r="H116" s="2">
        <v>46138</v>
      </c>
      <c r="I116" s="2">
        <v>46142</v>
      </c>
      <c r="J116" t="s">
        <v>353</v>
      </c>
      <c r="K116" t="s">
        <v>31</v>
      </c>
      <c r="L116">
        <v>14589</v>
      </c>
      <c r="M116" t="s">
        <v>354</v>
      </c>
      <c r="N116" t="s">
        <v>23</v>
      </c>
      <c r="O116" t="str">
        <f>IF(AND(Table1_1[[#This Row],[Age]]&gt;=60,Table1_1[[#This Row],[Insurance Status]]="Insured"),"senior Eligible","Not Eligible")</f>
        <v>Not Eligible</v>
      </c>
      <c r="P116" t="str">
        <f>IF(OR(Table1_1[[#This Row],[Treatment Cost]]&gt;=20000,Table1_1[[#This Row],[Room Type]]="ICU"),"High Cost","Normal Cost")</f>
        <v>Normal Cost</v>
      </c>
      <c r="Q116" t="str">
        <f>IF(Table1_1[[#This Row],[Age]]&lt;=18,"Child",IF(Table1_1[[#This Row],[Age]]&lt;=59,"Adult",IF(Table1_1[[#This Row],[Age]]&gt;=60,"Senior")))</f>
        <v>Adult</v>
      </c>
    </row>
    <row r="117" spans="1:17" x14ac:dyDescent="0.25">
      <c r="A117" t="s">
        <v>89</v>
      </c>
      <c r="B117" t="s">
        <v>351</v>
      </c>
      <c r="C117" t="s">
        <v>56</v>
      </c>
      <c r="D117">
        <v>35</v>
      </c>
      <c r="E117" t="s">
        <v>17</v>
      </c>
      <c r="F117" t="s">
        <v>380</v>
      </c>
      <c r="G117" t="s">
        <v>360</v>
      </c>
      <c r="H117" s="2">
        <v>46025</v>
      </c>
      <c r="I117" s="2">
        <v>46032</v>
      </c>
      <c r="J117" t="s">
        <v>357</v>
      </c>
      <c r="K117" t="s">
        <v>31</v>
      </c>
      <c r="L117">
        <v>14457</v>
      </c>
      <c r="M117" t="s">
        <v>354</v>
      </c>
      <c r="N117" t="s">
        <v>39</v>
      </c>
      <c r="O117" t="str">
        <f>IF(AND(Table1_1[[#This Row],[Age]]&gt;=60,Table1_1[[#This Row],[Insurance Status]]="Insured"),"senior Eligible","Not Eligible")</f>
        <v>Not Eligible</v>
      </c>
      <c r="P117" t="str">
        <f>IF(OR(Table1_1[[#This Row],[Treatment Cost]]&gt;=20000,Table1_1[[#This Row],[Room Type]]="ICU"),"High Cost","Normal Cost")</f>
        <v>High Cost</v>
      </c>
      <c r="Q117" t="str">
        <f>IF(Table1_1[[#This Row],[Age]]&lt;=18,"Child",IF(Table1_1[[#This Row],[Age]]&lt;=59,"Adult",IF(Table1_1[[#This Row],[Age]]&gt;=60,"Senior")))</f>
        <v>Adult</v>
      </c>
    </row>
    <row r="118" spans="1:17" x14ac:dyDescent="0.25">
      <c r="A118" t="s">
        <v>61</v>
      </c>
      <c r="B118" t="s">
        <v>364</v>
      </c>
      <c r="C118" t="s">
        <v>41</v>
      </c>
      <c r="D118">
        <v>48</v>
      </c>
      <c r="E118" t="s">
        <v>35</v>
      </c>
      <c r="F118" t="s">
        <v>380</v>
      </c>
      <c r="G118" t="s">
        <v>360</v>
      </c>
      <c r="H118" s="2">
        <v>46099</v>
      </c>
      <c r="I118" s="2">
        <v>46105</v>
      </c>
      <c r="J118" t="s">
        <v>353</v>
      </c>
      <c r="K118" t="s">
        <v>48</v>
      </c>
      <c r="L118">
        <v>14451</v>
      </c>
      <c r="M118" t="s">
        <v>358</v>
      </c>
      <c r="N118" t="s">
        <v>44</v>
      </c>
      <c r="O118" t="str">
        <f>IF(AND(Table1_1[[#This Row],[Age]]&gt;=60,Table1_1[[#This Row],[Insurance Status]]="Insured"),"senior Eligible","Not Eligible")</f>
        <v>Not Eligible</v>
      </c>
      <c r="P118" t="str">
        <f>IF(OR(Table1_1[[#This Row],[Treatment Cost]]&gt;=20000,Table1_1[[#This Row],[Room Type]]="ICU"),"High Cost","Normal Cost")</f>
        <v>Normal Cost</v>
      </c>
      <c r="Q118" t="str">
        <f>IF(Table1_1[[#This Row],[Age]]&lt;=18,"Child",IF(Table1_1[[#This Row],[Age]]&lt;=59,"Adult",IF(Table1_1[[#This Row],[Age]]&gt;=60,"Senior")))</f>
        <v>Adult</v>
      </c>
    </row>
    <row r="119" spans="1:17" x14ac:dyDescent="0.25">
      <c r="A119" t="s">
        <v>209</v>
      </c>
      <c r="B119" t="s">
        <v>359</v>
      </c>
      <c r="C119" t="s">
        <v>56</v>
      </c>
      <c r="D119">
        <v>74</v>
      </c>
      <c r="E119" t="s">
        <v>27</v>
      </c>
      <c r="F119" t="s">
        <v>380</v>
      </c>
      <c r="G119" t="s">
        <v>356</v>
      </c>
      <c r="H119" s="2">
        <v>46043</v>
      </c>
      <c r="I119" s="2">
        <v>46050</v>
      </c>
      <c r="J119" t="s">
        <v>357</v>
      </c>
      <c r="K119" t="s">
        <v>21</v>
      </c>
      <c r="L119">
        <v>14169</v>
      </c>
      <c r="M119" t="s">
        <v>358</v>
      </c>
      <c r="N119" t="s">
        <v>44</v>
      </c>
      <c r="O119" t="str">
        <f>IF(AND(Table1_1[[#This Row],[Age]]&gt;=60,Table1_1[[#This Row],[Insurance Status]]="Insured"),"senior Eligible","Not Eligible")</f>
        <v>senior Eligible</v>
      </c>
      <c r="P119" t="str">
        <f>IF(OR(Table1_1[[#This Row],[Treatment Cost]]&gt;=20000,Table1_1[[#This Row],[Room Type]]="ICU"),"High Cost","Normal Cost")</f>
        <v>Normal Cost</v>
      </c>
      <c r="Q119" t="str">
        <f>IF(Table1_1[[#This Row],[Age]]&lt;=18,"Child",IF(Table1_1[[#This Row],[Age]]&lt;=59,"Adult",IF(Table1_1[[#This Row],[Age]]&gt;=60,"Senior")))</f>
        <v>Senior</v>
      </c>
    </row>
    <row r="120" spans="1:17" x14ac:dyDescent="0.25">
      <c r="A120" t="s">
        <v>341</v>
      </c>
      <c r="B120" t="s">
        <v>359</v>
      </c>
      <c r="C120" t="s">
        <v>41</v>
      </c>
      <c r="D120">
        <v>58</v>
      </c>
      <c r="E120" t="s">
        <v>27</v>
      </c>
      <c r="F120" t="s">
        <v>380</v>
      </c>
      <c r="G120" t="s">
        <v>360</v>
      </c>
      <c r="H120" s="2">
        <v>46176</v>
      </c>
      <c r="I120" s="2">
        <v>46180</v>
      </c>
      <c r="J120" t="s">
        <v>357</v>
      </c>
      <c r="K120" t="s">
        <v>31</v>
      </c>
      <c r="L120">
        <v>13040</v>
      </c>
      <c r="M120" t="s">
        <v>354</v>
      </c>
      <c r="N120" t="s">
        <v>39</v>
      </c>
      <c r="O120" t="str">
        <f>IF(AND(Table1_1[[#This Row],[Age]]&gt;=60,Table1_1[[#This Row],[Insurance Status]]="Insured"),"senior Eligible","Not Eligible")</f>
        <v>Not Eligible</v>
      </c>
      <c r="P120" t="str">
        <f>IF(OR(Table1_1[[#This Row],[Treatment Cost]]&gt;=20000,Table1_1[[#This Row],[Room Type]]="ICU"),"High Cost","Normal Cost")</f>
        <v>High Cost</v>
      </c>
      <c r="Q120" t="str">
        <f>IF(Table1_1[[#This Row],[Age]]&lt;=18,"Child",IF(Table1_1[[#This Row],[Age]]&lt;=59,"Adult",IF(Table1_1[[#This Row],[Age]]&gt;=60,"Senior")))</f>
        <v>Adult</v>
      </c>
    </row>
    <row r="121" spans="1:17" x14ac:dyDescent="0.25">
      <c r="A121" t="s">
        <v>282</v>
      </c>
      <c r="B121" t="s">
        <v>351</v>
      </c>
      <c r="C121" t="s">
        <v>41</v>
      </c>
      <c r="D121">
        <v>44</v>
      </c>
      <c r="E121" t="s">
        <v>17</v>
      </c>
      <c r="F121" t="s">
        <v>380</v>
      </c>
      <c r="G121" t="s">
        <v>356</v>
      </c>
      <c r="H121" s="2">
        <v>46093</v>
      </c>
      <c r="I121" s="2">
        <v>46095</v>
      </c>
      <c r="J121" t="s">
        <v>353</v>
      </c>
      <c r="K121" t="s">
        <v>21</v>
      </c>
      <c r="L121">
        <v>11118</v>
      </c>
      <c r="M121" t="s">
        <v>358</v>
      </c>
      <c r="N121" t="s">
        <v>23</v>
      </c>
      <c r="O121" t="str">
        <f>IF(AND(Table1_1[[#This Row],[Age]]&gt;=60,Table1_1[[#This Row],[Insurance Status]]="Insured"),"senior Eligible","Not Eligible")</f>
        <v>Not Eligible</v>
      </c>
      <c r="P121" t="str">
        <f>IF(OR(Table1_1[[#This Row],[Treatment Cost]]&gt;=20000,Table1_1[[#This Row],[Room Type]]="ICU"),"High Cost","Normal Cost")</f>
        <v>Normal Cost</v>
      </c>
      <c r="Q121" t="str">
        <f>IF(Table1_1[[#This Row],[Age]]&lt;=18,"Child",IF(Table1_1[[#This Row],[Age]]&lt;=59,"Adult",IF(Table1_1[[#This Row],[Age]]&gt;=60,"Senior")))</f>
        <v>Adult</v>
      </c>
    </row>
    <row r="122" spans="1:17" x14ac:dyDescent="0.25">
      <c r="A122" t="s">
        <v>96</v>
      </c>
      <c r="B122" t="s">
        <v>361</v>
      </c>
      <c r="C122" t="s">
        <v>41</v>
      </c>
      <c r="D122">
        <v>33</v>
      </c>
      <c r="E122" t="s">
        <v>27</v>
      </c>
      <c r="F122" t="s">
        <v>380</v>
      </c>
      <c r="G122" t="s">
        <v>356</v>
      </c>
      <c r="H122" s="2">
        <v>46164</v>
      </c>
      <c r="I122" s="2">
        <v>46166</v>
      </c>
      <c r="J122" t="s">
        <v>357</v>
      </c>
      <c r="K122" t="s">
        <v>21</v>
      </c>
      <c r="L122">
        <v>10717</v>
      </c>
      <c r="M122" t="s">
        <v>358</v>
      </c>
      <c r="N122" t="s">
        <v>23</v>
      </c>
      <c r="O122" t="str">
        <f>IF(AND(Table1_1[[#This Row],[Age]]&gt;=60,Table1_1[[#This Row],[Insurance Status]]="Insured"),"senior Eligible","Not Eligible")</f>
        <v>Not Eligible</v>
      </c>
      <c r="P122" t="str">
        <f>IF(OR(Table1_1[[#This Row],[Treatment Cost]]&gt;=20000,Table1_1[[#This Row],[Room Type]]="ICU"),"High Cost","Normal Cost")</f>
        <v>Normal Cost</v>
      </c>
      <c r="Q122" t="str">
        <f>IF(Table1_1[[#This Row],[Age]]&lt;=18,"Child",IF(Table1_1[[#This Row],[Age]]&lt;=59,"Adult",IF(Table1_1[[#This Row],[Age]]&gt;=60,"Senior")))</f>
        <v>Adult</v>
      </c>
    </row>
    <row r="123" spans="1:17" x14ac:dyDescent="0.25">
      <c r="A123" t="s">
        <v>215</v>
      </c>
      <c r="B123" t="s">
        <v>355</v>
      </c>
      <c r="C123" t="s">
        <v>41</v>
      </c>
      <c r="D123">
        <v>33</v>
      </c>
      <c r="E123" t="s">
        <v>17</v>
      </c>
      <c r="F123" t="s">
        <v>380</v>
      </c>
      <c r="G123" t="s">
        <v>54</v>
      </c>
      <c r="H123" s="2">
        <v>46089</v>
      </c>
      <c r="I123" s="2">
        <v>46091</v>
      </c>
      <c r="J123" t="s">
        <v>362</v>
      </c>
      <c r="K123" t="s">
        <v>37</v>
      </c>
      <c r="L123">
        <v>9983</v>
      </c>
      <c r="M123" t="s">
        <v>358</v>
      </c>
      <c r="N123" t="s">
        <v>44</v>
      </c>
      <c r="O123" t="str">
        <f>IF(AND(Table1_1[[#This Row],[Age]]&gt;=60,Table1_1[[#This Row],[Insurance Status]]="Insured"),"senior Eligible","Not Eligible")</f>
        <v>Not Eligible</v>
      </c>
      <c r="P123" t="str">
        <f>IF(OR(Table1_1[[#This Row],[Treatment Cost]]&gt;=20000,Table1_1[[#This Row],[Room Type]]="ICU"),"High Cost","Normal Cost")</f>
        <v>Normal Cost</v>
      </c>
      <c r="Q123" t="str">
        <f>IF(Table1_1[[#This Row],[Age]]&lt;=18,"Child",IF(Table1_1[[#This Row],[Age]]&lt;=59,"Adult",IF(Table1_1[[#This Row],[Age]]&gt;=60,"Senior")))</f>
        <v>Adult</v>
      </c>
    </row>
    <row r="124" spans="1:17" x14ac:dyDescent="0.25">
      <c r="A124" t="s">
        <v>179</v>
      </c>
      <c r="B124" t="s">
        <v>363</v>
      </c>
      <c r="C124" t="s">
        <v>56</v>
      </c>
      <c r="D124">
        <v>48</v>
      </c>
      <c r="E124" t="s">
        <v>27</v>
      </c>
      <c r="F124" t="s">
        <v>380</v>
      </c>
      <c r="G124" t="s">
        <v>352</v>
      </c>
      <c r="H124" s="2">
        <v>46084</v>
      </c>
      <c r="I124" s="2">
        <v>46086</v>
      </c>
      <c r="J124" t="s">
        <v>357</v>
      </c>
      <c r="K124" t="s">
        <v>21</v>
      </c>
      <c r="L124">
        <v>9270</v>
      </c>
      <c r="M124" t="s">
        <v>354</v>
      </c>
      <c r="N124" t="s">
        <v>23</v>
      </c>
      <c r="O124" t="str">
        <f>IF(AND(Table1_1[[#This Row],[Age]]&gt;=60,Table1_1[[#This Row],[Insurance Status]]="Insured"),"senior Eligible","Not Eligible")</f>
        <v>Not Eligible</v>
      </c>
      <c r="P124" t="str">
        <f>IF(OR(Table1_1[[#This Row],[Treatment Cost]]&gt;=20000,Table1_1[[#This Row],[Room Type]]="ICU"),"High Cost","Normal Cost")</f>
        <v>Normal Cost</v>
      </c>
      <c r="Q124" t="str">
        <f>IF(Table1_1[[#This Row],[Age]]&lt;=18,"Child",IF(Table1_1[[#This Row],[Age]]&lt;=59,"Adult",IF(Table1_1[[#This Row],[Age]]&gt;=60,"Senior")))</f>
        <v>Adult</v>
      </c>
    </row>
    <row r="125" spans="1:17" x14ac:dyDescent="0.25">
      <c r="A125" t="s">
        <v>104</v>
      </c>
      <c r="B125" t="s">
        <v>364</v>
      </c>
      <c r="C125" t="s">
        <v>41</v>
      </c>
      <c r="D125">
        <v>36</v>
      </c>
      <c r="E125" t="s">
        <v>47</v>
      </c>
      <c r="F125" t="s">
        <v>380</v>
      </c>
      <c r="G125" t="s">
        <v>356</v>
      </c>
      <c r="H125" s="2">
        <v>46069</v>
      </c>
      <c r="I125" s="2">
        <v>46073</v>
      </c>
      <c r="J125" t="s">
        <v>353</v>
      </c>
      <c r="K125" t="s">
        <v>31</v>
      </c>
      <c r="L125">
        <v>8413</v>
      </c>
      <c r="M125" t="s">
        <v>358</v>
      </c>
      <c r="N125" t="s">
        <v>23</v>
      </c>
      <c r="O125" t="str">
        <f>IF(AND(Table1_1[[#This Row],[Age]]&gt;=60,Table1_1[[#This Row],[Insurance Status]]="Insured"),"senior Eligible","Not Eligible")</f>
        <v>Not Eligible</v>
      </c>
      <c r="P125" t="str">
        <f>IF(OR(Table1_1[[#This Row],[Treatment Cost]]&gt;=20000,Table1_1[[#This Row],[Room Type]]="ICU"),"High Cost","Normal Cost")</f>
        <v>Normal Cost</v>
      </c>
      <c r="Q125" t="str">
        <f>IF(Table1_1[[#This Row],[Age]]&lt;=18,"Child",IF(Table1_1[[#This Row],[Age]]&lt;=59,"Adult",IF(Table1_1[[#This Row],[Age]]&gt;=60,"Senior")))</f>
        <v>Adult</v>
      </c>
    </row>
    <row r="126" spans="1:17" x14ac:dyDescent="0.25">
      <c r="A126" t="s">
        <v>326</v>
      </c>
      <c r="B126" t="s">
        <v>361</v>
      </c>
      <c r="C126" t="s">
        <v>56</v>
      </c>
      <c r="D126">
        <v>52</v>
      </c>
      <c r="E126" t="s">
        <v>27</v>
      </c>
      <c r="F126" t="s">
        <v>380</v>
      </c>
      <c r="G126" t="s">
        <v>356</v>
      </c>
      <c r="H126" s="2">
        <v>46095</v>
      </c>
      <c r="I126" s="2">
        <v>46102</v>
      </c>
      <c r="J126" t="s">
        <v>362</v>
      </c>
      <c r="K126" t="s">
        <v>37</v>
      </c>
      <c r="L126">
        <v>7517</v>
      </c>
      <c r="M126" t="s">
        <v>354</v>
      </c>
      <c r="N126" t="s">
        <v>44</v>
      </c>
      <c r="O126" t="str">
        <f>IF(AND(Table1_1[[#This Row],[Age]]&gt;=60,Table1_1[[#This Row],[Insurance Status]]="Insured"),"senior Eligible","Not Eligible")</f>
        <v>Not Eligible</v>
      </c>
      <c r="P126" t="str">
        <f>IF(OR(Table1_1[[#This Row],[Treatment Cost]]&gt;=20000,Table1_1[[#This Row],[Room Type]]="ICU"),"High Cost","Normal Cost")</f>
        <v>Normal Cost</v>
      </c>
      <c r="Q126" t="str">
        <f>IF(Table1_1[[#This Row],[Age]]&lt;=18,"Child",IF(Table1_1[[#This Row],[Age]]&lt;=59,"Adult",IF(Table1_1[[#This Row],[Age]]&gt;=60,"Senior")))</f>
        <v>Adult</v>
      </c>
    </row>
    <row r="127" spans="1:17" x14ac:dyDescent="0.25">
      <c r="A127" t="s">
        <v>243</v>
      </c>
      <c r="B127" t="s">
        <v>363</v>
      </c>
      <c r="C127" t="s">
        <v>41</v>
      </c>
      <c r="D127">
        <v>61</v>
      </c>
      <c r="E127" t="s">
        <v>27</v>
      </c>
      <c r="F127" t="s">
        <v>380</v>
      </c>
      <c r="G127" t="s">
        <v>54</v>
      </c>
      <c r="H127" s="2">
        <v>46056</v>
      </c>
      <c r="I127" s="2">
        <v>46064</v>
      </c>
      <c r="J127" t="s">
        <v>353</v>
      </c>
      <c r="K127" t="s">
        <v>31</v>
      </c>
      <c r="L127">
        <v>6604</v>
      </c>
      <c r="M127" t="s">
        <v>354</v>
      </c>
      <c r="N127" t="s">
        <v>23</v>
      </c>
      <c r="O127" t="str">
        <f>IF(AND(Table1_1[[#This Row],[Age]]&gt;=60,Table1_1[[#This Row],[Insurance Status]]="Insured"),"senior Eligible","Not Eligible")</f>
        <v>Not Eligible</v>
      </c>
      <c r="P127" t="str">
        <f>IF(OR(Table1_1[[#This Row],[Treatment Cost]]&gt;=20000,Table1_1[[#This Row],[Room Type]]="ICU"),"High Cost","Normal Cost")</f>
        <v>Normal Cost</v>
      </c>
      <c r="Q127" t="str">
        <f>IF(Table1_1[[#This Row],[Age]]&lt;=18,"Child",IF(Table1_1[[#This Row],[Age]]&lt;=59,"Adult",IF(Table1_1[[#This Row],[Age]]&gt;=60,"Senior")))</f>
        <v>Senior</v>
      </c>
    </row>
    <row r="128" spans="1:17" x14ac:dyDescent="0.25">
      <c r="A128" t="s">
        <v>101</v>
      </c>
      <c r="B128" t="s">
        <v>359</v>
      </c>
      <c r="C128" t="s">
        <v>41</v>
      </c>
      <c r="D128">
        <v>34</v>
      </c>
      <c r="E128" t="s">
        <v>47</v>
      </c>
      <c r="F128" t="s">
        <v>380</v>
      </c>
      <c r="G128" t="s">
        <v>54</v>
      </c>
      <c r="H128" s="2">
        <v>46059</v>
      </c>
      <c r="I128" s="2">
        <v>46065</v>
      </c>
      <c r="J128" t="s">
        <v>357</v>
      </c>
      <c r="K128" t="s">
        <v>21</v>
      </c>
      <c r="L128">
        <v>6555</v>
      </c>
      <c r="M128" t="s">
        <v>354</v>
      </c>
      <c r="N128" t="s">
        <v>23</v>
      </c>
      <c r="O128" t="str">
        <f>IF(AND(Table1_1[[#This Row],[Age]]&gt;=60,Table1_1[[#This Row],[Insurance Status]]="Insured"),"senior Eligible","Not Eligible")</f>
        <v>Not Eligible</v>
      </c>
      <c r="P128" t="str">
        <f>IF(OR(Table1_1[[#This Row],[Treatment Cost]]&gt;=20000,Table1_1[[#This Row],[Room Type]]="ICU"),"High Cost","Normal Cost")</f>
        <v>Normal Cost</v>
      </c>
      <c r="Q128" t="str">
        <f>IF(Table1_1[[#This Row],[Age]]&lt;=18,"Child",IF(Table1_1[[#This Row],[Age]]&lt;=59,"Adult",IF(Table1_1[[#This Row],[Age]]&gt;=60,"Senior")))</f>
        <v>Adult</v>
      </c>
    </row>
    <row r="129" spans="1:17" x14ac:dyDescent="0.25">
      <c r="A129" t="s">
        <v>58</v>
      </c>
      <c r="B129" t="s">
        <v>363</v>
      </c>
      <c r="C129" t="s">
        <v>41</v>
      </c>
      <c r="D129">
        <v>41</v>
      </c>
      <c r="E129" t="s">
        <v>47</v>
      </c>
      <c r="F129" t="s">
        <v>380</v>
      </c>
      <c r="G129" t="s">
        <v>356</v>
      </c>
      <c r="H129" s="2">
        <v>46164</v>
      </c>
      <c r="I129" s="2">
        <v>46167</v>
      </c>
      <c r="J129" t="s">
        <v>357</v>
      </c>
      <c r="K129" t="s">
        <v>31</v>
      </c>
      <c r="L129">
        <v>6298</v>
      </c>
      <c r="M129" t="s">
        <v>358</v>
      </c>
      <c r="N129" t="s">
        <v>23</v>
      </c>
      <c r="O129" t="str">
        <f>IF(AND(Table1_1[[#This Row],[Age]]&gt;=60,Table1_1[[#This Row],[Insurance Status]]="Insured"),"senior Eligible","Not Eligible")</f>
        <v>Not Eligible</v>
      </c>
      <c r="P129" t="str">
        <f>IF(OR(Table1_1[[#This Row],[Treatment Cost]]&gt;=20000,Table1_1[[#This Row],[Room Type]]="ICU"),"High Cost","Normal Cost")</f>
        <v>Normal Cost</v>
      </c>
      <c r="Q129" t="str">
        <f>IF(Table1_1[[#This Row],[Age]]&lt;=18,"Child",IF(Table1_1[[#This Row],[Age]]&lt;=59,"Adult",IF(Table1_1[[#This Row],[Age]]&gt;=60,"Senior")))</f>
        <v>Adult</v>
      </c>
    </row>
    <row r="130" spans="1:17" x14ac:dyDescent="0.25">
      <c r="A130" t="s">
        <v>170</v>
      </c>
      <c r="B130" t="s">
        <v>363</v>
      </c>
      <c r="C130" t="s">
        <v>56</v>
      </c>
      <c r="D130">
        <v>43</v>
      </c>
      <c r="E130" t="s">
        <v>47</v>
      </c>
      <c r="F130" t="s">
        <v>380</v>
      </c>
      <c r="G130" t="s">
        <v>352</v>
      </c>
      <c r="H130" s="2">
        <v>46166</v>
      </c>
      <c r="I130" s="2">
        <v>46172</v>
      </c>
      <c r="J130" t="s">
        <v>362</v>
      </c>
      <c r="K130" t="s">
        <v>48</v>
      </c>
      <c r="L130">
        <v>5591</v>
      </c>
      <c r="M130" t="s">
        <v>354</v>
      </c>
      <c r="N130" t="s">
        <v>44</v>
      </c>
      <c r="O130" t="str">
        <f>IF(AND(Table1_1[[#This Row],[Age]]&gt;=60,Table1_1[[#This Row],[Insurance Status]]="Insured"),"senior Eligible","Not Eligible")</f>
        <v>Not Eligible</v>
      </c>
      <c r="P130" t="str">
        <f>IF(OR(Table1_1[[#This Row],[Treatment Cost]]&gt;=20000,Table1_1[[#This Row],[Room Type]]="ICU"),"High Cost","Normal Cost")</f>
        <v>Normal Cost</v>
      </c>
      <c r="Q130" t="str">
        <f>IF(Table1_1[[#This Row],[Age]]&lt;=18,"Child",IF(Table1_1[[#This Row],[Age]]&lt;=59,"Adult",IF(Table1_1[[#This Row],[Age]]&gt;=60,"Senior")))</f>
        <v>Adult</v>
      </c>
    </row>
    <row r="131" spans="1:17" x14ac:dyDescent="0.25">
      <c r="A131" t="s">
        <v>309</v>
      </c>
      <c r="B131" t="s">
        <v>363</v>
      </c>
      <c r="C131" t="s">
        <v>41</v>
      </c>
      <c r="D131">
        <v>29</v>
      </c>
      <c r="E131" t="s">
        <v>47</v>
      </c>
      <c r="F131" t="s">
        <v>380</v>
      </c>
      <c r="G131" t="s">
        <v>352</v>
      </c>
      <c r="H131" s="2">
        <v>46166</v>
      </c>
      <c r="I131" s="2">
        <v>46170</v>
      </c>
      <c r="J131" t="s">
        <v>353</v>
      </c>
      <c r="K131" t="s">
        <v>31</v>
      </c>
      <c r="L131">
        <v>4666</v>
      </c>
      <c r="M131" t="s">
        <v>354</v>
      </c>
      <c r="N131" t="s">
        <v>44</v>
      </c>
      <c r="O131" t="str">
        <f>IF(AND(Table1_1[[#This Row],[Age]]&gt;=60,Table1_1[[#This Row],[Insurance Status]]="Insured"),"senior Eligible","Not Eligible")</f>
        <v>Not Eligible</v>
      </c>
      <c r="P131" t="str">
        <f>IF(OR(Table1_1[[#This Row],[Treatment Cost]]&gt;=20000,Table1_1[[#This Row],[Room Type]]="ICU"),"High Cost","Normal Cost")</f>
        <v>Normal Cost</v>
      </c>
      <c r="Q131" t="str">
        <f>IF(Table1_1[[#This Row],[Age]]&lt;=18,"Child",IF(Table1_1[[#This Row],[Age]]&lt;=59,"Adult",IF(Table1_1[[#This Row],[Age]]&gt;=60,"Senior")))</f>
        <v>Adult</v>
      </c>
    </row>
    <row r="132" spans="1:17" x14ac:dyDescent="0.25">
      <c r="A132" t="s">
        <v>206</v>
      </c>
      <c r="B132" t="s">
        <v>364</v>
      </c>
      <c r="C132" t="s">
        <v>56</v>
      </c>
      <c r="D132">
        <v>23</v>
      </c>
      <c r="E132" t="s">
        <v>17</v>
      </c>
      <c r="F132" t="s">
        <v>380</v>
      </c>
      <c r="G132" t="s">
        <v>360</v>
      </c>
      <c r="H132" s="2">
        <v>46071</v>
      </c>
      <c r="I132" s="2">
        <v>46072</v>
      </c>
      <c r="J132" t="s">
        <v>353</v>
      </c>
      <c r="K132" t="s">
        <v>37</v>
      </c>
      <c r="L132">
        <v>4427</v>
      </c>
      <c r="M132" t="s">
        <v>354</v>
      </c>
      <c r="N132" t="s">
        <v>23</v>
      </c>
      <c r="O132" t="str">
        <f>IF(AND(Table1_1[[#This Row],[Age]]&gt;=60,Table1_1[[#This Row],[Insurance Status]]="Insured"),"senior Eligible","Not Eligible")</f>
        <v>Not Eligible</v>
      </c>
      <c r="P132" t="str">
        <f>IF(OR(Table1_1[[#This Row],[Treatment Cost]]&gt;=20000,Table1_1[[#This Row],[Room Type]]="ICU"),"High Cost","Normal Cost")</f>
        <v>Normal Cost</v>
      </c>
      <c r="Q132" t="str">
        <f>IF(Table1_1[[#This Row],[Age]]&lt;=18,"Child",IF(Table1_1[[#This Row],[Age]]&lt;=59,"Adult",IF(Table1_1[[#This Row],[Age]]&gt;=60,"Senior")))</f>
        <v>Adult</v>
      </c>
    </row>
    <row r="133" spans="1:17" x14ac:dyDescent="0.25">
      <c r="A133" t="s">
        <v>186</v>
      </c>
      <c r="B133" t="s">
        <v>361</v>
      </c>
      <c r="C133" t="s">
        <v>56</v>
      </c>
      <c r="D133">
        <v>69</v>
      </c>
      <c r="E133" t="s">
        <v>47</v>
      </c>
      <c r="F133" t="s">
        <v>380</v>
      </c>
      <c r="G133" t="s">
        <v>352</v>
      </c>
      <c r="H133" s="2">
        <v>46095</v>
      </c>
      <c r="I133" s="2">
        <v>46100</v>
      </c>
      <c r="J133" t="s">
        <v>353</v>
      </c>
      <c r="K133" t="s">
        <v>31</v>
      </c>
      <c r="L133">
        <v>3720</v>
      </c>
      <c r="M133" t="s">
        <v>358</v>
      </c>
      <c r="N133" t="s">
        <v>44</v>
      </c>
      <c r="O133" t="str">
        <f>IF(AND(Table1_1[[#This Row],[Age]]&gt;=60,Table1_1[[#This Row],[Insurance Status]]="Insured"),"senior Eligible","Not Eligible")</f>
        <v>senior Eligible</v>
      </c>
      <c r="P133" t="str">
        <f>IF(OR(Table1_1[[#This Row],[Treatment Cost]]&gt;=20000,Table1_1[[#This Row],[Room Type]]="ICU"),"High Cost","Normal Cost")</f>
        <v>Normal Cost</v>
      </c>
      <c r="Q133" t="str">
        <f>IF(Table1_1[[#This Row],[Age]]&lt;=18,"Child",IF(Table1_1[[#This Row],[Age]]&lt;=59,"Adult",IF(Table1_1[[#This Row],[Age]]&gt;=60,"Senior")))</f>
        <v>Senior</v>
      </c>
    </row>
    <row r="134" spans="1:17" x14ac:dyDescent="0.25">
      <c r="A134" t="s">
        <v>107</v>
      </c>
      <c r="B134" t="s">
        <v>355</v>
      </c>
      <c r="C134" t="s">
        <v>41</v>
      </c>
      <c r="D134">
        <v>51</v>
      </c>
      <c r="E134" t="s">
        <v>27</v>
      </c>
      <c r="F134" t="s">
        <v>380</v>
      </c>
      <c r="G134" t="s">
        <v>352</v>
      </c>
      <c r="H134" s="2">
        <v>46190</v>
      </c>
      <c r="I134" s="2">
        <v>46199</v>
      </c>
      <c r="J134" t="s">
        <v>362</v>
      </c>
      <c r="K134" t="s">
        <v>48</v>
      </c>
      <c r="L134">
        <v>3354</v>
      </c>
      <c r="M134" t="s">
        <v>354</v>
      </c>
      <c r="N134" t="s">
        <v>39</v>
      </c>
      <c r="O134" t="str">
        <f>IF(AND(Table1_1[[#This Row],[Age]]&gt;=60,Table1_1[[#This Row],[Insurance Status]]="Insured"),"senior Eligible","Not Eligible")</f>
        <v>Not Eligible</v>
      </c>
      <c r="P134" t="str">
        <f>IF(OR(Table1_1[[#This Row],[Treatment Cost]]&gt;=20000,Table1_1[[#This Row],[Room Type]]="ICU"),"High Cost","Normal Cost")</f>
        <v>High Cost</v>
      </c>
      <c r="Q134" t="str">
        <f>IF(Table1_1[[#This Row],[Age]]&lt;=18,"Child",IF(Table1_1[[#This Row],[Age]]&lt;=59,"Adult",IF(Table1_1[[#This Row],[Age]]&gt;=60,"Senior")))</f>
        <v>Adult</v>
      </c>
    </row>
    <row r="135" spans="1:17" x14ac:dyDescent="0.25">
      <c r="A135" t="s">
        <v>315</v>
      </c>
      <c r="B135" t="s">
        <v>361</v>
      </c>
      <c r="C135" t="s">
        <v>56</v>
      </c>
      <c r="D135">
        <v>25</v>
      </c>
      <c r="E135" t="s">
        <v>27</v>
      </c>
      <c r="F135" t="s">
        <v>380</v>
      </c>
      <c r="G135" t="s">
        <v>352</v>
      </c>
      <c r="H135" s="2">
        <v>46140</v>
      </c>
      <c r="I135" s="2">
        <v>46147</v>
      </c>
      <c r="J135" t="s">
        <v>362</v>
      </c>
      <c r="K135" t="s">
        <v>48</v>
      </c>
      <c r="L135">
        <v>2955</v>
      </c>
      <c r="M135" t="s">
        <v>358</v>
      </c>
      <c r="N135" t="s">
        <v>23</v>
      </c>
      <c r="O135" t="str">
        <f>IF(AND(Table1_1[[#This Row],[Age]]&gt;=60,Table1_1[[#This Row],[Insurance Status]]="Insured"),"senior Eligible","Not Eligible")</f>
        <v>Not Eligible</v>
      </c>
      <c r="P135" t="str">
        <f>IF(OR(Table1_1[[#This Row],[Treatment Cost]]&gt;=20000,Table1_1[[#This Row],[Room Type]]="ICU"),"High Cost","Normal Cost")</f>
        <v>Normal Cost</v>
      </c>
      <c r="Q135" t="str">
        <f>IF(Table1_1[[#This Row],[Age]]&lt;=18,"Child",IF(Table1_1[[#This Row],[Age]]&lt;=59,"Adult",IF(Table1_1[[#This Row],[Age]]&gt;=60,"Senior")))</f>
        <v>Adult</v>
      </c>
    </row>
    <row r="136" spans="1:17" x14ac:dyDescent="0.25">
      <c r="A136" t="s">
        <v>300</v>
      </c>
      <c r="B136" t="s">
        <v>359</v>
      </c>
      <c r="C136" t="s">
        <v>41</v>
      </c>
      <c r="D136">
        <v>36</v>
      </c>
      <c r="E136" t="s">
        <v>17</v>
      </c>
      <c r="F136" t="s">
        <v>380</v>
      </c>
      <c r="G136" t="s">
        <v>54</v>
      </c>
      <c r="H136" s="2">
        <v>46147</v>
      </c>
      <c r="I136" s="2">
        <v>46151</v>
      </c>
      <c r="J136" t="s">
        <v>357</v>
      </c>
      <c r="K136" t="s">
        <v>48</v>
      </c>
      <c r="L136">
        <v>2620</v>
      </c>
      <c r="M136" t="s">
        <v>358</v>
      </c>
      <c r="N136" t="s">
        <v>23</v>
      </c>
      <c r="O136" t="str">
        <f>IF(AND(Table1_1[[#This Row],[Age]]&gt;=60,Table1_1[[#This Row],[Insurance Status]]="Insured"),"senior Eligible","Not Eligible")</f>
        <v>Not Eligible</v>
      </c>
      <c r="P136" t="str">
        <f>IF(OR(Table1_1[[#This Row],[Treatment Cost]]&gt;=20000,Table1_1[[#This Row],[Room Type]]="ICU"),"High Cost","Normal Cost")</f>
        <v>Normal Cost</v>
      </c>
      <c r="Q136" t="str">
        <f>IF(Table1_1[[#This Row],[Age]]&lt;=18,"Child",IF(Table1_1[[#This Row],[Age]]&lt;=59,"Adult",IF(Table1_1[[#This Row],[Age]]&gt;=60,"Senior")))</f>
        <v>Adult</v>
      </c>
    </row>
    <row r="137" spans="1:17" x14ac:dyDescent="0.25">
      <c r="A137" t="s">
        <v>126</v>
      </c>
      <c r="B137" t="s">
        <v>359</v>
      </c>
      <c r="C137" t="s">
        <v>56</v>
      </c>
      <c r="D137">
        <v>33</v>
      </c>
      <c r="E137" t="s">
        <v>47</v>
      </c>
      <c r="F137" t="s">
        <v>380</v>
      </c>
      <c r="G137" t="s">
        <v>360</v>
      </c>
      <c r="H137" s="2">
        <v>46113</v>
      </c>
      <c r="I137" s="2">
        <v>46122</v>
      </c>
      <c r="J137" t="s">
        <v>353</v>
      </c>
      <c r="K137" t="s">
        <v>37</v>
      </c>
      <c r="L137">
        <v>2570</v>
      </c>
      <c r="M137" t="s">
        <v>354</v>
      </c>
      <c r="N137" t="s">
        <v>39</v>
      </c>
      <c r="O137" t="str">
        <f>IF(AND(Table1_1[[#This Row],[Age]]&gt;=60,Table1_1[[#This Row],[Insurance Status]]="Insured"),"senior Eligible","Not Eligible")</f>
        <v>Not Eligible</v>
      </c>
      <c r="P137" t="str">
        <f>IF(OR(Table1_1[[#This Row],[Treatment Cost]]&gt;=20000,Table1_1[[#This Row],[Room Type]]="ICU"),"High Cost","Normal Cost")</f>
        <v>High Cost</v>
      </c>
      <c r="Q137" t="str">
        <f>IF(Table1_1[[#This Row],[Age]]&lt;=18,"Child",IF(Table1_1[[#This Row],[Age]]&lt;=59,"Adult",IF(Table1_1[[#This Row],[Age]]&gt;=60,"Senior")))</f>
        <v>Adult</v>
      </c>
    </row>
    <row r="138" spans="1:17" x14ac:dyDescent="0.25">
      <c r="A138" t="s">
        <v>132</v>
      </c>
      <c r="B138" t="s">
        <v>355</v>
      </c>
      <c r="C138" t="s">
        <v>56</v>
      </c>
      <c r="D138">
        <v>66</v>
      </c>
      <c r="E138" t="s">
        <v>35</v>
      </c>
      <c r="F138" t="s">
        <v>66</v>
      </c>
      <c r="G138" t="s">
        <v>360</v>
      </c>
      <c r="H138" s="2">
        <v>46132</v>
      </c>
      <c r="I138" s="2">
        <v>46136</v>
      </c>
      <c r="J138" t="s">
        <v>353</v>
      </c>
      <c r="K138" t="s">
        <v>31</v>
      </c>
      <c r="L138">
        <v>48509</v>
      </c>
      <c r="M138" t="s">
        <v>354</v>
      </c>
      <c r="N138" t="s">
        <v>44</v>
      </c>
      <c r="O138" t="str">
        <f>IF(AND(Table1_1[[#This Row],[Age]]&gt;=60,Table1_1[[#This Row],[Insurance Status]]="Insured"),"senior Eligible","Not Eligible")</f>
        <v>Not Eligible</v>
      </c>
      <c r="P138" t="str">
        <f>IF(OR(Table1_1[[#This Row],[Treatment Cost]]&gt;=20000,Table1_1[[#This Row],[Room Type]]="ICU"),"High Cost","Normal Cost")</f>
        <v>High Cost</v>
      </c>
      <c r="Q138" t="str">
        <f>IF(Table1_1[[#This Row],[Age]]&lt;=18,"Child",IF(Table1_1[[#This Row],[Age]]&lt;=59,"Adult",IF(Table1_1[[#This Row],[Age]]&gt;=60,"Senior")))</f>
        <v>Senior</v>
      </c>
    </row>
    <row r="139" spans="1:17" x14ac:dyDescent="0.25">
      <c r="A139" t="s">
        <v>167</v>
      </c>
      <c r="B139" t="s">
        <v>361</v>
      </c>
      <c r="C139" t="s">
        <v>41</v>
      </c>
      <c r="D139">
        <v>80</v>
      </c>
      <c r="E139" t="s">
        <v>17</v>
      </c>
      <c r="F139" t="s">
        <v>66</v>
      </c>
      <c r="G139" t="s">
        <v>352</v>
      </c>
      <c r="H139" s="2">
        <v>46199</v>
      </c>
      <c r="I139" s="2">
        <v>46209</v>
      </c>
      <c r="J139" t="s">
        <v>357</v>
      </c>
      <c r="K139" t="s">
        <v>48</v>
      </c>
      <c r="L139">
        <v>48335</v>
      </c>
      <c r="M139" t="s">
        <v>354</v>
      </c>
      <c r="N139" t="s">
        <v>44</v>
      </c>
      <c r="O139" t="str">
        <f>IF(AND(Table1_1[[#This Row],[Age]]&gt;=60,Table1_1[[#This Row],[Insurance Status]]="Insured"),"senior Eligible","Not Eligible")</f>
        <v>Not Eligible</v>
      </c>
      <c r="P139" t="str">
        <f>IF(OR(Table1_1[[#This Row],[Treatment Cost]]&gt;=20000,Table1_1[[#This Row],[Room Type]]="ICU"),"High Cost","Normal Cost")</f>
        <v>High Cost</v>
      </c>
      <c r="Q139" t="str">
        <f>IF(Table1_1[[#This Row],[Age]]&lt;=18,"Child",IF(Table1_1[[#This Row],[Age]]&lt;=59,"Adult",IF(Table1_1[[#This Row],[Age]]&gt;=60,"Senior")))</f>
        <v>Senior</v>
      </c>
    </row>
    <row r="140" spans="1:17" x14ac:dyDescent="0.25">
      <c r="A140" t="s">
        <v>205</v>
      </c>
      <c r="B140" t="s">
        <v>364</v>
      </c>
      <c r="C140" t="s">
        <v>41</v>
      </c>
      <c r="D140">
        <v>68</v>
      </c>
      <c r="E140" t="s">
        <v>17</v>
      </c>
      <c r="F140" t="s">
        <v>66</v>
      </c>
      <c r="G140" t="s">
        <v>360</v>
      </c>
      <c r="H140" s="2">
        <v>46137</v>
      </c>
      <c r="I140" s="2">
        <v>46143</v>
      </c>
      <c r="J140" t="s">
        <v>357</v>
      </c>
      <c r="K140" t="s">
        <v>31</v>
      </c>
      <c r="L140">
        <v>47997</v>
      </c>
      <c r="M140" t="s">
        <v>354</v>
      </c>
      <c r="N140" t="s">
        <v>39</v>
      </c>
      <c r="O140" t="str">
        <f>IF(AND(Table1_1[[#This Row],[Age]]&gt;=60,Table1_1[[#This Row],[Insurance Status]]="Insured"),"senior Eligible","Not Eligible")</f>
        <v>Not Eligible</v>
      </c>
      <c r="P140" t="str">
        <f>IF(OR(Table1_1[[#This Row],[Treatment Cost]]&gt;=20000,Table1_1[[#This Row],[Room Type]]="ICU"),"High Cost","Normal Cost")</f>
        <v>High Cost</v>
      </c>
      <c r="Q140" t="str">
        <f>IF(Table1_1[[#This Row],[Age]]&lt;=18,"Child",IF(Table1_1[[#This Row],[Age]]&lt;=59,"Adult",IF(Table1_1[[#This Row],[Age]]&gt;=60,"Senior")))</f>
        <v>Senior</v>
      </c>
    </row>
    <row r="141" spans="1:17" x14ac:dyDescent="0.25">
      <c r="A141" t="s">
        <v>324</v>
      </c>
      <c r="B141" t="s">
        <v>359</v>
      </c>
      <c r="C141" t="s">
        <v>56</v>
      </c>
      <c r="D141">
        <v>21</v>
      </c>
      <c r="E141" t="s">
        <v>47</v>
      </c>
      <c r="F141" t="s">
        <v>66</v>
      </c>
      <c r="G141" t="s">
        <v>356</v>
      </c>
      <c r="H141" s="2">
        <v>46153</v>
      </c>
      <c r="I141" s="2">
        <v>46162</v>
      </c>
      <c r="J141" t="s">
        <v>353</v>
      </c>
      <c r="K141" t="s">
        <v>21</v>
      </c>
      <c r="L141">
        <v>47869</v>
      </c>
      <c r="M141" t="s">
        <v>354</v>
      </c>
      <c r="N141" t="s">
        <v>44</v>
      </c>
      <c r="O141" t="str">
        <f>IF(AND(Table1_1[[#This Row],[Age]]&gt;=60,Table1_1[[#This Row],[Insurance Status]]="Insured"),"senior Eligible","Not Eligible")</f>
        <v>Not Eligible</v>
      </c>
      <c r="P141" t="str">
        <f>IF(OR(Table1_1[[#This Row],[Treatment Cost]]&gt;=20000,Table1_1[[#This Row],[Room Type]]="ICU"),"High Cost","Normal Cost")</f>
        <v>High Cost</v>
      </c>
      <c r="Q141" t="str">
        <f>IF(Table1_1[[#This Row],[Age]]&lt;=18,"Child",IF(Table1_1[[#This Row],[Age]]&lt;=59,"Adult",IF(Table1_1[[#This Row],[Age]]&gt;=60,"Senior")))</f>
        <v>Adult</v>
      </c>
    </row>
    <row r="142" spans="1:17" x14ac:dyDescent="0.25">
      <c r="A142" t="s">
        <v>116</v>
      </c>
      <c r="B142" t="s">
        <v>351</v>
      </c>
      <c r="C142" t="s">
        <v>41</v>
      </c>
      <c r="D142">
        <v>27</v>
      </c>
      <c r="E142" t="s">
        <v>27</v>
      </c>
      <c r="F142" t="s">
        <v>66</v>
      </c>
      <c r="G142" t="s">
        <v>360</v>
      </c>
      <c r="H142" s="2">
        <v>46094</v>
      </c>
      <c r="I142" s="2">
        <v>46096</v>
      </c>
      <c r="J142" t="s">
        <v>362</v>
      </c>
      <c r="K142" t="s">
        <v>37</v>
      </c>
      <c r="L142">
        <v>47815</v>
      </c>
      <c r="M142" t="s">
        <v>358</v>
      </c>
      <c r="N142" t="s">
        <v>23</v>
      </c>
      <c r="O142" t="str">
        <f>IF(AND(Table1_1[[#This Row],[Age]]&gt;=60,Table1_1[[#This Row],[Insurance Status]]="Insured"),"senior Eligible","Not Eligible")</f>
        <v>Not Eligible</v>
      </c>
      <c r="P142" t="str">
        <f>IF(OR(Table1_1[[#This Row],[Treatment Cost]]&gt;=20000,Table1_1[[#This Row],[Room Type]]="ICU"),"High Cost","Normal Cost")</f>
        <v>High Cost</v>
      </c>
      <c r="Q142" t="str">
        <f>IF(Table1_1[[#This Row],[Age]]&lt;=18,"Child",IF(Table1_1[[#This Row],[Age]]&lt;=59,"Adult",IF(Table1_1[[#This Row],[Age]]&gt;=60,"Senior")))</f>
        <v>Adult</v>
      </c>
    </row>
    <row r="143" spans="1:17" x14ac:dyDescent="0.25">
      <c r="A143" t="s">
        <v>214</v>
      </c>
      <c r="B143" t="s">
        <v>363</v>
      </c>
      <c r="C143" t="s">
        <v>56</v>
      </c>
      <c r="D143">
        <v>43</v>
      </c>
      <c r="E143" t="s">
        <v>35</v>
      </c>
      <c r="F143" t="s">
        <v>66</v>
      </c>
      <c r="G143" t="s">
        <v>356</v>
      </c>
      <c r="H143" s="2">
        <v>46180</v>
      </c>
      <c r="I143" s="2">
        <v>46188</v>
      </c>
      <c r="J143" t="s">
        <v>357</v>
      </c>
      <c r="K143" t="s">
        <v>21</v>
      </c>
      <c r="L143">
        <v>47040</v>
      </c>
      <c r="M143" t="s">
        <v>354</v>
      </c>
      <c r="N143" t="s">
        <v>39</v>
      </c>
      <c r="O143" t="str">
        <f>IF(AND(Table1_1[[#This Row],[Age]]&gt;=60,Table1_1[[#This Row],[Insurance Status]]="Insured"),"senior Eligible","Not Eligible")</f>
        <v>Not Eligible</v>
      </c>
      <c r="P143" t="str">
        <f>IF(OR(Table1_1[[#This Row],[Treatment Cost]]&gt;=20000,Table1_1[[#This Row],[Room Type]]="ICU"),"High Cost","Normal Cost")</f>
        <v>High Cost</v>
      </c>
      <c r="Q143" t="str">
        <f>IF(Table1_1[[#This Row],[Age]]&lt;=18,"Child",IF(Table1_1[[#This Row],[Age]]&lt;=59,"Adult",IF(Table1_1[[#This Row],[Age]]&gt;=60,"Senior")))</f>
        <v>Adult</v>
      </c>
    </row>
    <row r="144" spans="1:17" x14ac:dyDescent="0.25">
      <c r="A144" t="s">
        <v>299</v>
      </c>
      <c r="B144" t="s">
        <v>351</v>
      </c>
      <c r="C144" t="s">
        <v>41</v>
      </c>
      <c r="D144">
        <v>79</v>
      </c>
      <c r="E144" t="s">
        <v>27</v>
      </c>
      <c r="F144" t="s">
        <v>66</v>
      </c>
      <c r="G144" t="s">
        <v>356</v>
      </c>
      <c r="H144" s="2">
        <v>46119</v>
      </c>
      <c r="I144" s="2">
        <v>46128</v>
      </c>
      <c r="J144" t="s">
        <v>362</v>
      </c>
      <c r="K144" t="s">
        <v>48</v>
      </c>
      <c r="L144">
        <v>46215</v>
      </c>
      <c r="M144" t="s">
        <v>358</v>
      </c>
      <c r="N144" t="s">
        <v>44</v>
      </c>
      <c r="O144" t="str">
        <f>IF(AND(Table1_1[[#This Row],[Age]]&gt;=60,Table1_1[[#This Row],[Insurance Status]]="Insured"),"senior Eligible","Not Eligible")</f>
        <v>senior Eligible</v>
      </c>
      <c r="P144" t="str">
        <f>IF(OR(Table1_1[[#This Row],[Treatment Cost]]&gt;=20000,Table1_1[[#This Row],[Room Type]]="ICU"),"High Cost","Normal Cost")</f>
        <v>High Cost</v>
      </c>
      <c r="Q144" t="str">
        <f>IF(Table1_1[[#This Row],[Age]]&lt;=18,"Child",IF(Table1_1[[#This Row],[Age]]&lt;=59,"Adult",IF(Table1_1[[#This Row],[Age]]&gt;=60,"Senior")))</f>
        <v>Senior</v>
      </c>
    </row>
    <row r="145" spans="1:17" x14ac:dyDescent="0.25">
      <c r="A145" t="s">
        <v>208</v>
      </c>
      <c r="B145" t="s">
        <v>363</v>
      </c>
      <c r="C145" t="s">
        <v>41</v>
      </c>
      <c r="D145">
        <v>74</v>
      </c>
      <c r="E145" t="s">
        <v>47</v>
      </c>
      <c r="F145" t="s">
        <v>66</v>
      </c>
      <c r="G145" t="s">
        <v>352</v>
      </c>
      <c r="H145" s="2">
        <v>46024</v>
      </c>
      <c r="I145" s="2">
        <v>46026</v>
      </c>
      <c r="J145" t="s">
        <v>362</v>
      </c>
      <c r="K145" t="s">
        <v>31</v>
      </c>
      <c r="L145">
        <v>44270</v>
      </c>
      <c r="M145" t="s">
        <v>354</v>
      </c>
      <c r="N145" t="s">
        <v>44</v>
      </c>
      <c r="O145" t="str">
        <f>IF(AND(Table1_1[[#This Row],[Age]]&gt;=60,Table1_1[[#This Row],[Insurance Status]]="Insured"),"senior Eligible","Not Eligible")</f>
        <v>Not Eligible</v>
      </c>
      <c r="P145" t="str">
        <f>IF(OR(Table1_1[[#This Row],[Treatment Cost]]&gt;=20000,Table1_1[[#This Row],[Room Type]]="ICU"),"High Cost","Normal Cost")</f>
        <v>High Cost</v>
      </c>
      <c r="Q145" t="str">
        <f>IF(Table1_1[[#This Row],[Age]]&lt;=18,"Child",IF(Table1_1[[#This Row],[Age]]&lt;=59,"Adult",IF(Table1_1[[#This Row],[Age]]&gt;=60,"Senior")))</f>
        <v>Senior</v>
      </c>
    </row>
    <row r="146" spans="1:17" x14ac:dyDescent="0.25">
      <c r="A146" t="s">
        <v>144</v>
      </c>
      <c r="B146" t="s">
        <v>363</v>
      </c>
      <c r="C146" t="s">
        <v>41</v>
      </c>
      <c r="D146">
        <v>40</v>
      </c>
      <c r="E146" t="s">
        <v>47</v>
      </c>
      <c r="F146" t="s">
        <v>66</v>
      </c>
      <c r="G146" t="s">
        <v>356</v>
      </c>
      <c r="H146" s="2">
        <v>46086</v>
      </c>
      <c r="I146" s="2">
        <v>46093</v>
      </c>
      <c r="J146" t="s">
        <v>353</v>
      </c>
      <c r="K146" t="s">
        <v>48</v>
      </c>
      <c r="L146">
        <v>43528</v>
      </c>
      <c r="M146" t="s">
        <v>358</v>
      </c>
      <c r="N146" t="s">
        <v>39</v>
      </c>
      <c r="O146" t="str">
        <f>IF(AND(Table1_1[[#This Row],[Age]]&gt;=60,Table1_1[[#This Row],[Insurance Status]]="Insured"),"senior Eligible","Not Eligible")</f>
        <v>Not Eligible</v>
      </c>
      <c r="P146" t="str">
        <f>IF(OR(Table1_1[[#This Row],[Treatment Cost]]&gt;=20000,Table1_1[[#This Row],[Room Type]]="ICU"),"High Cost","Normal Cost")</f>
        <v>High Cost</v>
      </c>
      <c r="Q146" t="str">
        <f>IF(Table1_1[[#This Row],[Age]]&lt;=18,"Child",IF(Table1_1[[#This Row],[Age]]&lt;=59,"Adult",IF(Table1_1[[#This Row],[Age]]&gt;=60,"Senior")))</f>
        <v>Adult</v>
      </c>
    </row>
    <row r="147" spans="1:17" x14ac:dyDescent="0.25">
      <c r="A147" t="s">
        <v>201</v>
      </c>
      <c r="B147" t="s">
        <v>364</v>
      </c>
      <c r="C147" t="s">
        <v>41</v>
      </c>
      <c r="D147">
        <v>45</v>
      </c>
      <c r="E147" t="s">
        <v>47</v>
      </c>
      <c r="F147" t="s">
        <v>66</v>
      </c>
      <c r="G147" t="s">
        <v>356</v>
      </c>
      <c r="H147" s="2">
        <v>46059</v>
      </c>
      <c r="I147" s="2">
        <v>46068</v>
      </c>
      <c r="J147" t="s">
        <v>362</v>
      </c>
      <c r="K147" t="s">
        <v>21</v>
      </c>
      <c r="L147">
        <v>43310</v>
      </c>
      <c r="M147" t="s">
        <v>354</v>
      </c>
      <c r="N147" t="s">
        <v>44</v>
      </c>
      <c r="O147" t="str">
        <f>IF(AND(Table1_1[[#This Row],[Age]]&gt;=60,Table1_1[[#This Row],[Insurance Status]]="Insured"),"senior Eligible","Not Eligible")</f>
        <v>Not Eligible</v>
      </c>
      <c r="P147" t="str">
        <f>IF(OR(Table1_1[[#This Row],[Treatment Cost]]&gt;=20000,Table1_1[[#This Row],[Room Type]]="ICU"),"High Cost","Normal Cost")</f>
        <v>High Cost</v>
      </c>
      <c r="Q147" t="str">
        <f>IF(Table1_1[[#This Row],[Age]]&lt;=18,"Child",IF(Table1_1[[#This Row],[Age]]&lt;=59,"Adult",IF(Table1_1[[#This Row],[Age]]&gt;=60,"Senior")))</f>
        <v>Adult</v>
      </c>
    </row>
    <row r="148" spans="1:17" x14ac:dyDescent="0.25">
      <c r="A148" t="s">
        <v>283</v>
      </c>
      <c r="B148" t="s">
        <v>361</v>
      </c>
      <c r="C148" t="s">
        <v>56</v>
      </c>
      <c r="D148">
        <v>76</v>
      </c>
      <c r="E148" t="s">
        <v>27</v>
      </c>
      <c r="F148" t="s">
        <v>66</v>
      </c>
      <c r="G148" t="s">
        <v>356</v>
      </c>
      <c r="H148" s="2">
        <v>46181</v>
      </c>
      <c r="I148" s="2">
        <v>46182</v>
      </c>
      <c r="J148" t="s">
        <v>353</v>
      </c>
      <c r="K148" t="s">
        <v>21</v>
      </c>
      <c r="L148">
        <v>42721</v>
      </c>
      <c r="M148" t="s">
        <v>354</v>
      </c>
      <c r="N148" t="s">
        <v>39</v>
      </c>
      <c r="O148" t="str">
        <f>IF(AND(Table1_1[[#This Row],[Age]]&gt;=60,Table1_1[[#This Row],[Insurance Status]]="Insured"),"senior Eligible","Not Eligible")</f>
        <v>Not Eligible</v>
      </c>
      <c r="P148" t="str">
        <f>IF(OR(Table1_1[[#This Row],[Treatment Cost]]&gt;=20000,Table1_1[[#This Row],[Room Type]]="ICU"),"High Cost","Normal Cost")</f>
        <v>High Cost</v>
      </c>
      <c r="Q148" t="str">
        <f>IF(Table1_1[[#This Row],[Age]]&lt;=18,"Child",IF(Table1_1[[#This Row],[Age]]&lt;=59,"Adult",IF(Table1_1[[#This Row],[Age]]&gt;=60,"Senior")))</f>
        <v>Senior</v>
      </c>
    </row>
    <row r="149" spans="1:17" x14ac:dyDescent="0.25">
      <c r="A149" t="s">
        <v>294</v>
      </c>
      <c r="B149" t="s">
        <v>359</v>
      </c>
      <c r="C149" t="s">
        <v>41</v>
      </c>
      <c r="D149">
        <v>84</v>
      </c>
      <c r="E149" t="s">
        <v>17</v>
      </c>
      <c r="F149" t="s">
        <v>66</v>
      </c>
      <c r="G149" t="s">
        <v>352</v>
      </c>
      <c r="H149" s="2">
        <v>46128</v>
      </c>
      <c r="I149" s="2">
        <v>46132</v>
      </c>
      <c r="J149" t="s">
        <v>357</v>
      </c>
      <c r="K149" t="s">
        <v>37</v>
      </c>
      <c r="L149">
        <v>41712</v>
      </c>
      <c r="M149" t="s">
        <v>358</v>
      </c>
      <c r="N149" t="s">
        <v>39</v>
      </c>
      <c r="O149" t="str">
        <f>IF(AND(Table1_1[[#This Row],[Age]]&gt;=60,Table1_1[[#This Row],[Insurance Status]]="Insured"),"senior Eligible","Not Eligible")</f>
        <v>senior Eligible</v>
      </c>
      <c r="P149" t="str">
        <f>IF(OR(Table1_1[[#This Row],[Treatment Cost]]&gt;=20000,Table1_1[[#This Row],[Room Type]]="ICU"),"High Cost","Normal Cost")</f>
        <v>High Cost</v>
      </c>
      <c r="Q149" t="str">
        <f>IF(Table1_1[[#This Row],[Age]]&lt;=18,"Child",IF(Table1_1[[#This Row],[Age]]&lt;=59,"Adult",IF(Table1_1[[#This Row],[Age]]&gt;=60,"Senior")))</f>
        <v>Senior</v>
      </c>
    </row>
    <row r="150" spans="1:17" x14ac:dyDescent="0.25">
      <c r="A150" t="s">
        <v>225</v>
      </c>
      <c r="B150" t="s">
        <v>364</v>
      </c>
      <c r="C150" t="s">
        <v>56</v>
      </c>
      <c r="D150">
        <v>68</v>
      </c>
      <c r="E150" t="s">
        <v>17</v>
      </c>
      <c r="F150" t="s">
        <v>66</v>
      </c>
      <c r="G150" t="s">
        <v>356</v>
      </c>
      <c r="H150" s="2">
        <v>46100</v>
      </c>
      <c r="I150" s="2">
        <v>46107</v>
      </c>
      <c r="J150" t="s">
        <v>357</v>
      </c>
      <c r="K150" t="s">
        <v>31</v>
      </c>
      <c r="L150">
        <v>40318</v>
      </c>
      <c r="M150" t="s">
        <v>358</v>
      </c>
      <c r="N150" t="s">
        <v>39</v>
      </c>
      <c r="O150" t="str">
        <f>IF(AND(Table1_1[[#This Row],[Age]]&gt;=60,Table1_1[[#This Row],[Insurance Status]]="Insured"),"senior Eligible","Not Eligible")</f>
        <v>senior Eligible</v>
      </c>
      <c r="P150" t="str">
        <f>IF(OR(Table1_1[[#This Row],[Treatment Cost]]&gt;=20000,Table1_1[[#This Row],[Room Type]]="ICU"),"High Cost","Normal Cost")</f>
        <v>High Cost</v>
      </c>
      <c r="Q150" t="str">
        <f>IF(Table1_1[[#This Row],[Age]]&lt;=18,"Child",IF(Table1_1[[#This Row],[Age]]&lt;=59,"Adult",IF(Table1_1[[#This Row],[Age]]&gt;=60,"Senior")))</f>
        <v>Senior</v>
      </c>
    </row>
    <row r="151" spans="1:17" x14ac:dyDescent="0.25">
      <c r="A151" t="s">
        <v>65</v>
      </c>
      <c r="B151" t="s">
        <v>363</v>
      </c>
      <c r="C151" t="s">
        <v>56</v>
      </c>
      <c r="D151">
        <v>32</v>
      </c>
      <c r="E151" t="s">
        <v>27</v>
      </c>
      <c r="F151" t="s">
        <v>66</v>
      </c>
      <c r="G151" t="s">
        <v>54</v>
      </c>
      <c r="H151" s="2">
        <v>46159</v>
      </c>
      <c r="I151" s="2">
        <v>46165</v>
      </c>
      <c r="J151" t="s">
        <v>353</v>
      </c>
      <c r="K151" t="s">
        <v>21</v>
      </c>
      <c r="L151">
        <v>38827</v>
      </c>
      <c r="M151" t="s">
        <v>354</v>
      </c>
      <c r="N151" t="s">
        <v>44</v>
      </c>
      <c r="O151" t="str">
        <f>IF(AND(Table1_1[[#This Row],[Age]]&gt;=60,Table1_1[[#This Row],[Insurance Status]]="Insured"),"senior Eligible","Not Eligible")</f>
        <v>Not Eligible</v>
      </c>
      <c r="P151" t="str">
        <f>IF(OR(Table1_1[[#This Row],[Treatment Cost]]&gt;=20000,Table1_1[[#This Row],[Room Type]]="ICU"),"High Cost","Normal Cost")</f>
        <v>High Cost</v>
      </c>
      <c r="Q151" t="str">
        <f>IF(Table1_1[[#This Row],[Age]]&lt;=18,"Child",IF(Table1_1[[#This Row],[Age]]&lt;=59,"Adult",IF(Table1_1[[#This Row],[Age]]&gt;=60,"Senior")))</f>
        <v>Adult</v>
      </c>
    </row>
    <row r="152" spans="1:17" x14ac:dyDescent="0.25">
      <c r="A152" t="s">
        <v>129</v>
      </c>
      <c r="B152" t="s">
        <v>363</v>
      </c>
      <c r="C152" t="s">
        <v>41</v>
      </c>
      <c r="D152">
        <v>28</v>
      </c>
      <c r="E152" t="s">
        <v>17</v>
      </c>
      <c r="F152" t="s">
        <v>66</v>
      </c>
      <c r="G152" t="s">
        <v>54</v>
      </c>
      <c r="H152" s="2">
        <v>46151</v>
      </c>
      <c r="I152" s="2">
        <v>46161</v>
      </c>
      <c r="J152" t="s">
        <v>353</v>
      </c>
      <c r="K152" t="s">
        <v>48</v>
      </c>
      <c r="L152">
        <v>38035</v>
      </c>
      <c r="M152" t="s">
        <v>358</v>
      </c>
      <c r="N152" t="s">
        <v>44</v>
      </c>
      <c r="O152" t="str">
        <f>IF(AND(Table1_1[[#This Row],[Age]]&gt;=60,Table1_1[[#This Row],[Insurance Status]]="Insured"),"senior Eligible","Not Eligible")</f>
        <v>Not Eligible</v>
      </c>
      <c r="P152" t="str">
        <f>IF(OR(Table1_1[[#This Row],[Treatment Cost]]&gt;=20000,Table1_1[[#This Row],[Room Type]]="ICU"),"High Cost","Normal Cost")</f>
        <v>High Cost</v>
      </c>
      <c r="Q152" t="str">
        <f>IF(Table1_1[[#This Row],[Age]]&lt;=18,"Child",IF(Table1_1[[#This Row],[Age]]&lt;=59,"Adult",IF(Table1_1[[#This Row],[Age]]&gt;=60,"Senior")))</f>
        <v>Adult</v>
      </c>
    </row>
    <row r="153" spans="1:17" x14ac:dyDescent="0.25">
      <c r="A153" t="s">
        <v>138</v>
      </c>
      <c r="B153" t="s">
        <v>351</v>
      </c>
      <c r="C153" t="s">
        <v>56</v>
      </c>
      <c r="D153">
        <v>81</v>
      </c>
      <c r="E153" t="s">
        <v>27</v>
      </c>
      <c r="F153" t="s">
        <v>66</v>
      </c>
      <c r="G153" t="s">
        <v>360</v>
      </c>
      <c r="H153" s="2">
        <v>46100</v>
      </c>
      <c r="I153" s="2">
        <v>46110</v>
      </c>
      <c r="J153" t="s">
        <v>357</v>
      </c>
      <c r="K153" t="s">
        <v>37</v>
      </c>
      <c r="L153">
        <v>37660</v>
      </c>
      <c r="M153" t="s">
        <v>358</v>
      </c>
      <c r="N153" t="s">
        <v>23</v>
      </c>
      <c r="O153" t="str">
        <f>IF(AND(Table1_1[[#This Row],[Age]]&gt;=60,Table1_1[[#This Row],[Insurance Status]]="Insured"),"senior Eligible","Not Eligible")</f>
        <v>senior Eligible</v>
      </c>
      <c r="P153" t="str">
        <f>IF(OR(Table1_1[[#This Row],[Treatment Cost]]&gt;=20000,Table1_1[[#This Row],[Room Type]]="ICU"),"High Cost","Normal Cost")</f>
        <v>High Cost</v>
      </c>
      <c r="Q153" t="str">
        <f>IF(Table1_1[[#This Row],[Age]]&lt;=18,"Child",IF(Table1_1[[#This Row],[Age]]&lt;=59,"Adult",IF(Table1_1[[#This Row],[Age]]&gt;=60,"Senior")))</f>
        <v>Senior</v>
      </c>
    </row>
    <row r="154" spans="1:17" x14ac:dyDescent="0.25">
      <c r="A154" t="s">
        <v>332</v>
      </c>
      <c r="B154" t="s">
        <v>363</v>
      </c>
      <c r="C154" t="s">
        <v>41</v>
      </c>
      <c r="D154">
        <v>34</v>
      </c>
      <c r="E154" t="s">
        <v>27</v>
      </c>
      <c r="F154" t="s">
        <v>66</v>
      </c>
      <c r="G154" t="s">
        <v>356</v>
      </c>
      <c r="H154" s="2">
        <v>46106</v>
      </c>
      <c r="I154" s="2">
        <v>46107</v>
      </c>
      <c r="J154" t="s">
        <v>357</v>
      </c>
      <c r="K154" t="s">
        <v>37</v>
      </c>
      <c r="L154">
        <v>37130</v>
      </c>
      <c r="M154" t="s">
        <v>358</v>
      </c>
      <c r="N154" t="s">
        <v>23</v>
      </c>
      <c r="O154" t="str">
        <f>IF(AND(Table1_1[[#This Row],[Age]]&gt;=60,Table1_1[[#This Row],[Insurance Status]]="Insured"),"senior Eligible","Not Eligible")</f>
        <v>Not Eligible</v>
      </c>
      <c r="P154" t="str">
        <f>IF(OR(Table1_1[[#This Row],[Treatment Cost]]&gt;=20000,Table1_1[[#This Row],[Room Type]]="ICU"),"High Cost","Normal Cost")</f>
        <v>High Cost</v>
      </c>
      <c r="Q154" t="str">
        <f>IF(Table1_1[[#This Row],[Age]]&lt;=18,"Child",IF(Table1_1[[#This Row],[Age]]&lt;=59,"Adult",IF(Table1_1[[#This Row],[Age]]&gt;=60,"Senior")))</f>
        <v>Adult</v>
      </c>
    </row>
    <row r="155" spans="1:17" x14ac:dyDescent="0.25">
      <c r="A155" t="s">
        <v>187</v>
      </c>
      <c r="B155" t="s">
        <v>364</v>
      </c>
      <c r="C155" t="s">
        <v>56</v>
      </c>
      <c r="D155">
        <v>72</v>
      </c>
      <c r="E155" t="s">
        <v>35</v>
      </c>
      <c r="F155" t="s">
        <v>66</v>
      </c>
      <c r="G155" t="s">
        <v>352</v>
      </c>
      <c r="H155" s="2">
        <v>46067</v>
      </c>
      <c r="I155" s="2">
        <v>46073</v>
      </c>
      <c r="J155" t="s">
        <v>357</v>
      </c>
      <c r="K155" t="s">
        <v>37</v>
      </c>
      <c r="L155">
        <v>36780</v>
      </c>
      <c r="M155" t="s">
        <v>354</v>
      </c>
      <c r="N155" t="s">
        <v>23</v>
      </c>
      <c r="O155" t="str">
        <f>IF(AND(Table1_1[[#This Row],[Age]]&gt;=60,Table1_1[[#This Row],[Insurance Status]]="Insured"),"senior Eligible","Not Eligible")</f>
        <v>Not Eligible</v>
      </c>
      <c r="P155" t="str">
        <f>IF(OR(Table1_1[[#This Row],[Treatment Cost]]&gt;=20000,Table1_1[[#This Row],[Room Type]]="ICU"),"High Cost","Normal Cost")</f>
        <v>High Cost</v>
      </c>
      <c r="Q155" t="str">
        <f>IF(Table1_1[[#This Row],[Age]]&lt;=18,"Child",IF(Table1_1[[#This Row],[Age]]&lt;=59,"Adult",IF(Table1_1[[#This Row],[Age]]&gt;=60,"Senior")))</f>
        <v>Senior</v>
      </c>
    </row>
    <row r="156" spans="1:17" x14ac:dyDescent="0.25">
      <c r="A156" t="s">
        <v>252</v>
      </c>
      <c r="B156" t="s">
        <v>363</v>
      </c>
      <c r="C156" t="s">
        <v>41</v>
      </c>
      <c r="D156">
        <v>72</v>
      </c>
      <c r="E156" t="s">
        <v>47</v>
      </c>
      <c r="F156" t="s">
        <v>66</v>
      </c>
      <c r="G156" t="s">
        <v>360</v>
      </c>
      <c r="H156" s="2">
        <v>46181</v>
      </c>
      <c r="I156" s="2">
        <v>46190</v>
      </c>
      <c r="J156" t="s">
        <v>362</v>
      </c>
      <c r="K156" t="s">
        <v>31</v>
      </c>
      <c r="L156">
        <v>36255</v>
      </c>
      <c r="M156" t="s">
        <v>354</v>
      </c>
      <c r="N156" t="s">
        <v>44</v>
      </c>
      <c r="O156" t="str">
        <f>IF(AND(Table1_1[[#This Row],[Age]]&gt;=60,Table1_1[[#This Row],[Insurance Status]]="Insured"),"senior Eligible","Not Eligible")</f>
        <v>Not Eligible</v>
      </c>
      <c r="P156" t="str">
        <f>IF(OR(Table1_1[[#This Row],[Treatment Cost]]&gt;=20000,Table1_1[[#This Row],[Room Type]]="ICU"),"High Cost","Normal Cost")</f>
        <v>High Cost</v>
      </c>
      <c r="Q156" t="str">
        <f>IF(Table1_1[[#This Row],[Age]]&lt;=18,"Child",IF(Table1_1[[#This Row],[Age]]&lt;=59,"Adult",IF(Table1_1[[#This Row],[Age]]&gt;=60,"Senior")))</f>
        <v>Senior</v>
      </c>
    </row>
    <row r="157" spans="1:17" x14ac:dyDescent="0.25">
      <c r="A157" t="s">
        <v>325</v>
      </c>
      <c r="B157" t="s">
        <v>359</v>
      </c>
      <c r="C157" t="s">
        <v>56</v>
      </c>
      <c r="D157">
        <v>51</v>
      </c>
      <c r="E157" t="s">
        <v>35</v>
      </c>
      <c r="F157" t="s">
        <v>66</v>
      </c>
      <c r="G157" t="s">
        <v>352</v>
      </c>
      <c r="H157" s="2">
        <v>46128</v>
      </c>
      <c r="I157" s="2">
        <v>46133</v>
      </c>
      <c r="J157" t="s">
        <v>357</v>
      </c>
      <c r="K157" t="s">
        <v>37</v>
      </c>
      <c r="L157">
        <v>36070</v>
      </c>
      <c r="M157" t="s">
        <v>358</v>
      </c>
      <c r="N157" t="s">
        <v>44</v>
      </c>
      <c r="O157" t="str">
        <f>IF(AND(Table1_1[[#This Row],[Age]]&gt;=60,Table1_1[[#This Row],[Insurance Status]]="Insured"),"senior Eligible","Not Eligible")</f>
        <v>Not Eligible</v>
      </c>
      <c r="P157" t="str">
        <f>IF(OR(Table1_1[[#This Row],[Treatment Cost]]&gt;=20000,Table1_1[[#This Row],[Room Type]]="ICU"),"High Cost","Normal Cost")</f>
        <v>High Cost</v>
      </c>
      <c r="Q157" t="str">
        <f>IF(Table1_1[[#This Row],[Age]]&lt;=18,"Child",IF(Table1_1[[#This Row],[Age]]&lt;=59,"Adult",IF(Table1_1[[#This Row],[Age]]&gt;=60,"Senior")))</f>
        <v>Adult</v>
      </c>
    </row>
    <row r="158" spans="1:17" x14ac:dyDescent="0.25">
      <c r="A158" t="s">
        <v>211</v>
      </c>
      <c r="B158" t="s">
        <v>361</v>
      </c>
      <c r="C158" t="s">
        <v>56</v>
      </c>
      <c r="D158">
        <v>61</v>
      </c>
      <c r="E158" t="s">
        <v>27</v>
      </c>
      <c r="F158" t="s">
        <v>66</v>
      </c>
      <c r="G158" t="s">
        <v>356</v>
      </c>
      <c r="H158" s="2">
        <v>46091</v>
      </c>
      <c r="I158" s="2">
        <v>46096</v>
      </c>
      <c r="J158" t="s">
        <v>357</v>
      </c>
      <c r="K158" t="s">
        <v>31</v>
      </c>
      <c r="L158">
        <v>35918</v>
      </c>
      <c r="M158" t="s">
        <v>358</v>
      </c>
      <c r="N158" t="s">
        <v>44</v>
      </c>
      <c r="O158" t="str">
        <f>IF(AND(Table1_1[[#This Row],[Age]]&gt;=60,Table1_1[[#This Row],[Insurance Status]]="Insured"),"senior Eligible","Not Eligible")</f>
        <v>senior Eligible</v>
      </c>
      <c r="P158" t="str">
        <f>IF(OR(Table1_1[[#This Row],[Treatment Cost]]&gt;=20000,Table1_1[[#This Row],[Room Type]]="ICU"),"High Cost","Normal Cost")</f>
        <v>High Cost</v>
      </c>
      <c r="Q158" t="str">
        <f>IF(Table1_1[[#This Row],[Age]]&lt;=18,"Child",IF(Table1_1[[#This Row],[Age]]&lt;=59,"Adult",IF(Table1_1[[#This Row],[Age]]&gt;=60,"Senior")))</f>
        <v>Senior</v>
      </c>
    </row>
    <row r="159" spans="1:17" x14ac:dyDescent="0.25">
      <c r="A159" t="s">
        <v>331</v>
      </c>
      <c r="B159" t="s">
        <v>351</v>
      </c>
      <c r="C159" t="s">
        <v>56</v>
      </c>
      <c r="D159">
        <v>36</v>
      </c>
      <c r="E159" t="s">
        <v>47</v>
      </c>
      <c r="F159" t="s">
        <v>66</v>
      </c>
      <c r="G159" t="s">
        <v>356</v>
      </c>
      <c r="H159" s="2">
        <v>46027</v>
      </c>
      <c r="I159" s="2">
        <v>46033</v>
      </c>
      <c r="J159" t="s">
        <v>357</v>
      </c>
      <c r="K159" t="s">
        <v>21</v>
      </c>
      <c r="L159">
        <v>35907</v>
      </c>
      <c r="M159" t="s">
        <v>354</v>
      </c>
      <c r="N159" t="s">
        <v>23</v>
      </c>
      <c r="O159" t="str">
        <f>IF(AND(Table1_1[[#This Row],[Age]]&gt;=60,Table1_1[[#This Row],[Insurance Status]]="Insured"),"senior Eligible","Not Eligible")</f>
        <v>Not Eligible</v>
      </c>
      <c r="P159" t="str">
        <f>IF(OR(Table1_1[[#This Row],[Treatment Cost]]&gt;=20000,Table1_1[[#This Row],[Room Type]]="ICU"),"High Cost","Normal Cost")</f>
        <v>High Cost</v>
      </c>
      <c r="Q159" t="str">
        <f>IF(Table1_1[[#This Row],[Age]]&lt;=18,"Child",IF(Table1_1[[#This Row],[Age]]&lt;=59,"Adult",IF(Table1_1[[#This Row],[Age]]&gt;=60,"Senior")))</f>
        <v>Adult</v>
      </c>
    </row>
    <row r="160" spans="1:17" x14ac:dyDescent="0.25">
      <c r="A160" t="s">
        <v>175</v>
      </c>
      <c r="B160" t="s">
        <v>355</v>
      </c>
      <c r="C160" t="s">
        <v>41</v>
      </c>
      <c r="D160">
        <v>29</v>
      </c>
      <c r="E160" t="s">
        <v>27</v>
      </c>
      <c r="F160" t="s">
        <v>66</v>
      </c>
      <c r="G160" t="s">
        <v>360</v>
      </c>
      <c r="H160" s="2">
        <v>46110</v>
      </c>
      <c r="I160" s="2">
        <v>46117</v>
      </c>
      <c r="J160" t="s">
        <v>357</v>
      </c>
      <c r="K160" t="s">
        <v>31</v>
      </c>
      <c r="L160">
        <v>35857</v>
      </c>
      <c r="M160" t="s">
        <v>358</v>
      </c>
      <c r="N160" t="s">
        <v>44</v>
      </c>
      <c r="O160" t="str">
        <f>IF(AND(Table1_1[[#This Row],[Age]]&gt;=60,Table1_1[[#This Row],[Insurance Status]]="Insured"),"senior Eligible","Not Eligible")</f>
        <v>Not Eligible</v>
      </c>
      <c r="P160" t="str">
        <f>IF(OR(Table1_1[[#This Row],[Treatment Cost]]&gt;=20000,Table1_1[[#This Row],[Room Type]]="ICU"),"High Cost","Normal Cost")</f>
        <v>High Cost</v>
      </c>
      <c r="Q160" t="str">
        <f>IF(Table1_1[[#This Row],[Age]]&lt;=18,"Child",IF(Table1_1[[#This Row],[Age]]&lt;=59,"Adult",IF(Table1_1[[#This Row],[Age]]&gt;=60,"Senior")))</f>
        <v>Adult</v>
      </c>
    </row>
    <row r="161" spans="1:17" x14ac:dyDescent="0.25">
      <c r="A161" t="s">
        <v>85</v>
      </c>
      <c r="B161" t="s">
        <v>363</v>
      </c>
      <c r="C161" t="s">
        <v>41</v>
      </c>
      <c r="D161">
        <v>47</v>
      </c>
      <c r="E161" t="s">
        <v>27</v>
      </c>
      <c r="F161" t="s">
        <v>66</v>
      </c>
      <c r="G161" t="s">
        <v>356</v>
      </c>
      <c r="H161" s="2">
        <v>46146</v>
      </c>
      <c r="I161" s="2">
        <v>46154</v>
      </c>
      <c r="J161" t="s">
        <v>353</v>
      </c>
      <c r="K161" t="s">
        <v>48</v>
      </c>
      <c r="L161">
        <v>34827</v>
      </c>
      <c r="M161" t="s">
        <v>358</v>
      </c>
      <c r="N161" t="s">
        <v>39</v>
      </c>
      <c r="O161" t="str">
        <f>IF(AND(Table1_1[[#This Row],[Age]]&gt;=60,Table1_1[[#This Row],[Insurance Status]]="Insured"),"senior Eligible","Not Eligible")</f>
        <v>Not Eligible</v>
      </c>
      <c r="P161" t="str">
        <f>IF(OR(Table1_1[[#This Row],[Treatment Cost]]&gt;=20000,Table1_1[[#This Row],[Room Type]]="ICU"),"High Cost","Normal Cost")</f>
        <v>High Cost</v>
      </c>
      <c r="Q161" t="str">
        <f>IF(Table1_1[[#This Row],[Age]]&lt;=18,"Child",IF(Table1_1[[#This Row],[Age]]&lt;=59,"Adult",IF(Table1_1[[#This Row],[Age]]&gt;=60,"Senior")))</f>
        <v>Adult</v>
      </c>
    </row>
    <row r="162" spans="1:17" x14ac:dyDescent="0.25">
      <c r="A162" t="s">
        <v>207</v>
      </c>
      <c r="B162" t="s">
        <v>364</v>
      </c>
      <c r="C162" t="s">
        <v>56</v>
      </c>
      <c r="D162">
        <v>56</v>
      </c>
      <c r="E162" t="s">
        <v>27</v>
      </c>
      <c r="F162" t="s">
        <v>66</v>
      </c>
      <c r="G162" t="s">
        <v>356</v>
      </c>
      <c r="H162" s="2">
        <v>46044</v>
      </c>
      <c r="I162" s="2">
        <v>46046</v>
      </c>
      <c r="J162" t="s">
        <v>362</v>
      </c>
      <c r="K162" t="s">
        <v>31</v>
      </c>
      <c r="L162">
        <v>33230</v>
      </c>
      <c r="M162" t="s">
        <v>358</v>
      </c>
      <c r="N162" t="s">
        <v>39</v>
      </c>
      <c r="O162" t="str">
        <f>IF(AND(Table1_1[[#This Row],[Age]]&gt;=60,Table1_1[[#This Row],[Insurance Status]]="Insured"),"senior Eligible","Not Eligible")</f>
        <v>Not Eligible</v>
      </c>
      <c r="P162" t="str">
        <f>IF(OR(Table1_1[[#This Row],[Treatment Cost]]&gt;=20000,Table1_1[[#This Row],[Room Type]]="ICU"),"High Cost","Normal Cost")</f>
        <v>High Cost</v>
      </c>
      <c r="Q162" t="str">
        <f>IF(Table1_1[[#This Row],[Age]]&lt;=18,"Child",IF(Table1_1[[#This Row],[Age]]&lt;=59,"Adult",IF(Table1_1[[#This Row],[Age]]&gt;=60,"Senior")))</f>
        <v>Adult</v>
      </c>
    </row>
    <row r="163" spans="1:17" x14ac:dyDescent="0.25">
      <c r="A163" t="s">
        <v>306</v>
      </c>
      <c r="B163" t="s">
        <v>355</v>
      </c>
      <c r="C163" t="s">
        <v>41</v>
      </c>
      <c r="D163">
        <v>38</v>
      </c>
      <c r="E163" t="s">
        <v>17</v>
      </c>
      <c r="F163" t="s">
        <v>66</v>
      </c>
      <c r="G163" t="s">
        <v>352</v>
      </c>
      <c r="H163" s="2">
        <v>46158</v>
      </c>
      <c r="I163" s="2">
        <v>46167</v>
      </c>
      <c r="J163" t="s">
        <v>357</v>
      </c>
      <c r="K163" t="s">
        <v>37</v>
      </c>
      <c r="L163">
        <v>32913</v>
      </c>
      <c r="M163" t="s">
        <v>358</v>
      </c>
      <c r="N163" t="s">
        <v>44</v>
      </c>
      <c r="O163" t="str">
        <f>IF(AND(Table1_1[[#This Row],[Age]]&gt;=60,Table1_1[[#This Row],[Insurance Status]]="Insured"),"senior Eligible","Not Eligible")</f>
        <v>Not Eligible</v>
      </c>
      <c r="P163" t="str">
        <f>IF(OR(Table1_1[[#This Row],[Treatment Cost]]&gt;=20000,Table1_1[[#This Row],[Room Type]]="ICU"),"High Cost","Normal Cost")</f>
        <v>High Cost</v>
      </c>
      <c r="Q163" t="str">
        <f>IF(Table1_1[[#This Row],[Age]]&lt;=18,"Child",IF(Table1_1[[#This Row],[Age]]&lt;=59,"Adult",IF(Table1_1[[#This Row],[Age]]&gt;=60,"Senior")))</f>
        <v>Adult</v>
      </c>
    </row>
    <row r="164" spans="1:17" x14ac:dyDescent="0.25">
      <c r="A164" t="s">
        <v>281</v>
      </c>
      <c r="B164" t="s">
        <v>361</v>
      </c>
      <c r="C164" t="s">
        <v>41</v>
      </c>
      <c r="D164">
        <v>73</v>
      </c>
      <c r="E164" t="s">
        <v>17</v>
      </c>
      <c r="F164" t="s">
        <v>66</v>
      </c>
      <c r="G164" t="s">
        <v>54</v>
      </c>
      <c r="H164" s="2">
        <v>46182</v>
      </c>
      <c r="I164" s="2">
        <v>46188</v>
      </c>
      <c r="J164" t="s">
        <v>357</v>
      </c>
      <c r="K164" t="s">
        <v>48</v>
      </c>
      <c r="L164">
        <v>32032</v>
      </c>
      <c r="M164" t="s">
        <v>354</v>
      </c>
      <c r="N164" t="s">
        <v>39</v>
      </c>
      <c r="O164" t="str">
        <f>IF(AND(Table1_1[[#This Row],[Age]]&gt;=60,Table1_1[[#This Row],[Insurance Status]]="Insured"),"senior Eligible","Not Eligible")</f>
        <v>Not Eligible</v>
      </c>
      <c r="P164" t="str">
        <f>IF(OR(Table1_1[[#This Row],[Treatment Cost]]&gt;=20000,Table1_1[[#This Row],[Room Type]]="ICU"),"High Cost","Normal Cost")</f>
        <v>High Cost</v>
      </c>
      <c r="Q164" t="str">
        <f>IF(Table1_1[[#This Row],[Age]]&lt;=18,"Child",IF(Table1_1[[#This Row],[Age]]&lt;=59,"Adult",IF(Table1_1[[#This Row],[Age]]&gt;=60,"Senior")))</f>
        <v>Senior</v>
      </c>
    </row>
    <row r="165" spans="1:17" x14ac:dyDescent="0.25">
      <c r="A165" t="s">
        <v>124</v>
      </c>
      <c r="B165" t="s">
        <v>363</v>
      </c>
      <c r="C165" t="s">
        <v>41</v>
      </c>
      <c r="D165">
        <v>61</v>
      </c>
      <c r="E165" t="s">
        <v>35</v>
      </c>
      <c r="F165" t="s">
        <v>66</v>
      </c>
      <c r="G165" t="s">
        <v>54</v>
      </c>
      <c r="H165" s="2">
        <v>46166</v>
      </c>
      <c r="I165" s="2">
        <v>46175</v>
      </c>
      <c r="J165" t="s">
        <v>357</v>
      </c>
      <c r="K165" t="s">
        <v>31</v>
      </c>
      <c r="L165">
        <v>31129</v>
      </c>
      <c r="M165" t="s">
        <v>358</v>
      </c>
      <c r="N165" t="s">
        <v>23</v>
      </c>
      <c r="O165" t="str">
        <f>IF(AND(Table1_1[[#This Row],[Age]]&gt;=60,Table1_1[[#This Row],[Insurance Status]]="Insured"),"senior Eligible","Not Eligible")</f>
        <v>senior Eligible</v>
      </c>
      <c r="P165" t="str">
        <f>IF(OR(Table1_1[[#This Row],[Treatment Cost]]&gt;=20000,Table1_1[[#This Row],[Room Type]]="ICU"),"High Cost","Normal Cost")</f>
        <v>High Cost</v>
      </c>
      <c r="Q165" t="str">
        <f>IF(Table1_1[[#This Row],[Age]]&lt;=18,"Child",IF(Table1_1[[#This Row],[Age]]&lt;=59,"Adult",IF(Table1_1[[#This Row],[Age]]&gt;=60,"Senior")))</f>
        <v>Senior</v>
      </c>
    </row>
    <row r="166" spans="1:17" x14ac:dyDescent="0.25">
      <c r="A166" t="s">
        <v>91</v>
      </c>
      <c r="B166" t="s">
        <v>355</v>
      </c>
      <c r="C166" t="s">
        <v>56</v>
      </c>
      <c r="D166">
        <v>48</v>
      </c>
      <c r="E166" t="s">
        <v>17</v>
      </c>
      <c r="F166" t="s">
        <v>66</v>
      </c>
      <c r="G166" t="s">
        <v>356</v>
      </c>
      <c r="H166" s="2">
        <v>46109</v>
      </c>
      <c r="I166" s="2">
        <v>46113</v>
      </c>
      <c r="J166" t="s">
        <v>353</v>
      </c>
      <c r="K166" t="s">
        <v>21</v>
      </c>
      <c r="L166">
        <v>30789</v>
      </c>
      <c r="M166" t="s">
        <v>354</v>
      </c>
      <c r="N166" t="s">
        <v>39</v>
      </c>
      <c r="O166" t="str">
        <f>IF(AND(Table1_1[[#This Row],[Age]]&gt;=60,Table1_1[[#This Row],[Insurance Status]]="Insured"),"senior Eligible","Not Eligible")</f>
        <v>Not Eligible</v>
      </c>
      <c r="P166" t="str">
        <f>IF(OR(Table1_1[[#This Row],[Treatment Cost]]&gt;=20000,Table1_1[[#This Row],[Room Type]]="ICU"),"High Cost","Normal Cost")</f>
        <v>High Cost</v>
      </c>
      <c r="Q166" t="str">
        <f>IF(Table1_1[[#This Row],[Age]]&lt;=18,"Child",IF(Table1_1[[#This Row],[Age]]&lt;=59,"Adult",IF(Table1_1[[#This Row],[Age]]&gt;=60,"Senior")))</f>
        <v>Adult</v>
      </c>
    </row>
    <row r="167" spans="1:17" x14ac:dyDescent="0.25">
      <c r="A167" t="s">
        <v>137</v>
      </c>
      <c r="B167" t="s">
        <v>359</v>
      </c>
      <c r="C167" t="s">
        <v>41</v>
      </c>
      <c r="D167">
        <v>18</v>
      </c>
      <c r="E167" t="s">
        <v>17</v>
      </c>
      <c r="F167" t="s">
        <v>66</v>
      </c>
      <c r="G167" t="s">
        <v>352</v>
      </c>
      <c r="H167" s="2">
        <v>46046</v>
      </c>
      <c r="I167" s="2">
        <v>46050</v>
      </c>
      <c r="J167" t="s">
        <v>357</v>
      </c>
      <c r="K167" t="s">
        <v>21</v>
      </c>
      <c r="L167">
        <v>28194</v>
      </c>
      <c r="M167" t="s">
        <v>354</v>
      </c>
      <c r="N167" t="s">
        <v>39</v>
      </c>
      <c r="O167" t="str">
        <f>IF(AND(Table1_1[[#This Row],[Age]]&gt;=60,Table1_1[[#This Row],[Insurance Status]]="Insured"),"senior Eligible","Not Eligible")</f>
        <v>Not Eligible</v>
      </c>
      <c r="P167" t="str">
        <f>IF(OR(Table1_1[[#This Row],[Treatment Cost]]&gt;=20000,Table1_1[[#This Row],[Room Type]]="ICU"),"High Cost","Normal Cost")</f>
        <v>High Cost</v>
      </c>
      <c r="Q167" t="str">
        <f>IF(Table1_1[[#This Row],[Age]]&lt;=18,"Child",IF(Table1_1[[#This Row],[Age]]&lt;=59,"Adult",IF(Table1_1[[#This Row],[Age]]&gt;=60,"Senior")))</f>
        <v>Child</v>
      </c>
    </row>
    <row r="168" spans="1:17" x14ac:dyDescent="0.25">
      <c r="A168" t="s">
        <v>257</v>
      </c>
      <c r="B168" t="s">
        <v>361</v>
      </c>
      <c r="C168" t="s">
        <v>41</v>
      </c>
      <c r="D168">
        <v>21</v>
      </c>
      <c r="E168" t="s">
        <v>47</v>
      </c>
      <c r="F168" t="s">
        <v>66</v>
      </c>
      <c r="G168" t="s">
        <v>54</v>
      </c>
      <c r="H168" s="2">
        <v>46063</v>
      </c>
      <c r="I168" s="2">
        <v>46069</v>
      </c>
      <c r="J168" t="s">
        <v>362</v>
      </c>
      <c r="K168" t="s">
        <v>48</v>
      </c>
      <c r="L168">
        <v>27736</v>
      </c>
      <c r="M168" t="s">
        <v>358</v>
      </c>
      <c r="N168" t="s">
        <v>23</v>
      </c>
      <c r="O168" t="str">
        <f>IF(AND(Table1_1[[#This Row],[Age]]&gt;=60,Table1_1[[#This Row],[Insurance Status]]="Insured"),"senior Eligible","Not Eligible")</f>
        <v>Not Eligible</v>
      </c>
      <c r="P168" t="str">
        <f>IF(OR(Table1_1[[#This Row],[Treatment Cost]]&gt;=20000,Table1_1[[#This Row],[Room Type]]="ICU"),"High Cost","Normal Cost")</f>
        <v>High Cost</v>
      </c>
      <c r="Q168" t="str">
        <f>IF(Table1_1[[#This Row],[Age]]&lt;=18,"Child",IF(Table1_1[[#This Row],[Age]]&lt;=59,"Adult",IF(Table1_1[[#This Row],[Age]]&gt;=60,"Senior")))</f>
        <v>Adult</v>
      </c>
    </row>
    <row r="169" spans="1:17" x14ac:dyDescent="0.25">
      <c r="A169" t="s">
        <v>318</v>
      </c>
      <c r="B169" t="s">
        <v>351</v>
      </c>
      <c r="C169" t="s">
        <v>41</v>
      </c>
      <c r="D169">
        <v>26</v>
      </c>
      <c r="E169" t="s">
        <v>17</v>
      </c>
      <c r="F169" t="s">
        <v>66</v>
      </c>
      <c r="G169" t="s">
        <v>360</v>
      </c>
      <c r="H169" s="2">
        <v>46050</v>
      </c>
      <c r="I169" s="2">
        <v>46054</v>
      </c>
      <c r="J169" t="s">
        <v>357</v>
      </c>
      <c r="K169" t="s">
        <v>48</v>
      </c>
      <c r="L169">
        <v>26082</v>
      </c>
      <c r="M169" t="s">
        <v>358</v>
      </c>
      <c r="N169" t="s">
        <v>23</v>
      </c>
      <c r="O169" t="str">
        <f>IF(AND(Table1_1[[#This Row],[Age]]&gt;=60,Table1_1[[#This Row],[Insurance Status]]="Insured"),"senior Eligible","Not Eligible")</f>
        <v>Not Eligible</v>
      </c>
      <c r="P169" t="str">
        <f>IF(OR(Table1_1[[#This Row],[Treatment Cost]]&gt;=20000,Table1_1[[#This Row],[Room Type]]="ICU"),"High Cost","Normal Cost")</f>
        <v>High Cost</v>
      </c>
      <c r="Q169" t="str">
        <f>IF(Table1_1[[#This Row],[Age]]&lt;=18,"Child",IF(Table1_1[[#This Row],[Age]]&lt;=59,"Adult",IF(Table1_1[[#This Row],[Age]]&gt;=60,"Senior")))</f>
        <v>Adult</v>
      </c>
    </row>
    <row r="170" spans="1:17" x14ac:dyDescent="0.25">
      <c r="A170" t="s">
        <v>322</v>
      </c>
      <c r="B170" t="s">
        <v>359</v>
      </c>
      <c r="C170" t="s">
        <v>41</v>
      </c>
      <c r="D170">
        <v>83</v>
      </c>
      <c r="E170" t="s">
        <v>27</v>
      </c>
      <c r="F170" t="s">
        <v>66</v>
      </c>
      <c r="G170" t="s">
        <v>54</v>
      </c>
      <c r="H170" s="2">
        <v>46076</v>
      </c>
      <c r="I170" s="2">
        <v>46083</v>
      </c>
      <c r="J170" t="s">
        <v>362</v>
      </c>
      <c r="K170" t="s">
        <v>21</v>
      </c>
      <c r="L170">
        <v>25745</v>
      </c>
      <c r="M170" t="s">
        <v>358</v>
      </c>
      <c r="N170" t="s">
        <v>23</v>
      </c>
      <c r="O170" t="str">
        <f>IF(AND(Table1_1[[#This Row],[Age]]&gt;=60,Table1_1[[#This Row],[Insurance Status]]="Insured"),"senior Eligible","Not Eligible")</f>
        <v>senior Eligible</v>
      </c>
      <c r="P170" t="str">
        <f>IF(OR(Table1_1[[#This Row],[Treatment Cost]]&gt;=20000,Table1_1[[#This Row],[Room Type]]="ICU"),"High Cost","Normal Cost")</f>
        <v>High Cost</v>
      </c>
      <c r="Q170" t="str">
        <f>IF(Table1_1[[#This Row],[Age]]&lt;=18,"Child",IF(Table1_1[[#This Row],[Age]]&lt;=59,"Adult",IF(Table1_1[[#This Row],[Age]]&gt;=60,"Senior")))</f>
        <v>Senior</v>
      </c>
    </row>
    <row r="171" spans="1:17" x14ac:dyDescent="0.25">
      <c r="A171" t="s">
        <v>200</v>
      </c>
      <c r="B171" t="s">
        <v>364</v>
      </c>
      <c r="C171" t="s">
        <v>41</v>
      </c>
      <c r="D171">
        <v>25</v>
      </c>
      <c r="E171" t="s">
        <v>35</v>
      </c>
      <c r="F171" t="s">
        <v>66</v>
      </c>
      <c r="G171" t="s">
        <v>352</v>
      </c>
      <c r="H171" s="2">
        <v>46203</v>
      </c>
      <c r="I171" s="2">
        <v>46210</v>
      </c>
      <c r="J171" t="s">
        <v>357</v>
      </c>
      <c r="K171" t="s">
        <v>31</v>
      </c>
      <c r="L171">
        <v>24355</v>
      </c>
      <c r="M171" t="s">
        <v>358</v>
      </c>
      <c r="N171" t="s">
        <v>39</v>
      </c>
      <c r="O171" t="str">
        <f>IF(AND(Table1_1[[#This Row],[Age]]&gt;=60,Table1_1[[#This Row],[Insurance Status]]="Insured"),"senior Eligible","Not Eligible")</f>
        <v>Not Eligible</v>
      </c>
      <c r="P171" t="str">
        <f>IF(OR(Table1_1[[#This Row],[Treatment Cost]]&gt;=20000,Table1_1[[#This Row],[Room Type]]="ICU"),"High Cost","Normal Cost")</f>
        <v>High Cost</v>
      </c>
      <c r="Q171" t="str">
        <f>IF(Table1_1[[#This Row],[Age]]&lt;=18,"Child",IF(Table1_1[[#This Row],[Age]]&lt;=59,"Adult",IF(Table1_1[[#This Row],[Age]]&gt;=60,"Senior")))</f>
        <v>Adult</v>
      </c>
    </row>
    <row r="172" spans="1:17" x14ac:dyDescent="0.25">
      <c r="A172" t="s">
        <v>346</v>
      </c>
      <c r="B172" t="s">
        <v>361</v>
      </c>
      <c r="C172" t="s">
        <v>56</v>
      </c>
      <c r="D172">
        <v>37</v>
      </c>
      <c r="E172" t="s">
        <v>27</v>
      </c>
      <c r="F172" t="s">
        <v>66</v>
      </c>
      <c r="G172" t="s">
        <v>54</v>
      </c>
      <c r="H172" s="2">
        <v>46084</v>
      </c>
      <c r="I172" s="2">
        <v>46093</v>
      </c>
      <c r="J172" t="s">
        <v>357</v>
      </c>
      <c r="K172" t="s">
        <v>37</v>
      </c>
      <c r="L172">
        <v>24135</v>
      </c>
      <c r="M172" t="s">
        <v>358</v>
      </c>
      <c r="N172" t="s">
        <v>44</v>
      </c>
      <c r="O172" t="str">
        <f>IF(AND(Table1_1[[#This Row],[Age]]&gt;=60,Table1_1[[#This Row],[Insurance Status]]="Insured"),"senior Eligible","Not Eligible")</f>
        <v>Not Eligible</v>
      </c>
      <c r="P172" t="str">
        <f>IF(OR(Table1_1[[#This Row],[Treatment Cost]]&gt;=20000,Table1_1[[#This Row],[Room Type]]="ICU"),"High Cost","Normal Cost")</f>
        <v>High Cost</v>
      </c>
      <c r="Q172" t="str">
        <f>IF(Table1_1[[#This Row],[Age]]&lt;=18,"Child",IF(Table1_1[[#This Row],[Age]]&lt;=59,"Adult",IF(Table1_1[[#This Row],[Age]]&gt;=60,"Senior")))</f>
        <v>Adult</v>
      </c>
    </row>
    <row r="173" spans="1:17" x14ac:dyDescent="0.25">
      <c r="A173" t="s">
        <v>226</v>
      </c>
      <c r="B173" t="s">
        <v>359</v>
      </c>
      <c r="C173" t="s">
        <v>41</v>
      </c>
      <c r="D173">
        <v>37</v>
      </c>
      <c r="E173" t="s">
        <v>27</v>
      </c>
      <c r="F173" t="s">
        <v>66</v>
      </c>
      <c r="G173" t="s">
        <v>352</v>
      </c>
      <c r="H173" s="2">
        <v>46044</v>
      </c>
      <c r="I173" s="2">
        <v>46052</v>
      </c>
      <c r="J173" t="s">
        <v>357</v>
      </c>
      <c r="K173" t="s">
        <v>37</v>
      </c>
      <c r="L173">
        <v>24043</v>
      </c>
      <c r="M173" t="s">
        <v>354</v>
      </c>
      <c r="N173" t="s">
        <v>23</v>
      </c>
      <c r="O173" t="str">
        <f>IF(AND(Table1_1[[#This Row],[Age]]&gt;=60,Table1_1[[#This Row],[Insurance Status]]="Insured"),"senior Eligible","Not Eligible")</f>
        <v>Not Eligible</v>
      </c>
      <c r="P173" t="str">
        <f>IF(OR(Table1_1[[#This Row],[Treatment Cost]]&gt;=20000,Table1_1[[#This Row],[Room Type]]="ICU"),"High Cost","Normal Cost")</f>
        <v>High Cost</v>
      </c>
      <c r="Q173" t="str">
        <f>IF(Table1_1[[#This Row],[Age]]&lt;=18,"Child",IF(Table1_1[[#This Row],[Age]]&lt;=59,"Adult",IF(Table1_1[[#This Row],[Age]]&gt;=60,"Senior")))</f>
        <v>Adult</v>
      </c>
    </row>
    <row r="174" spans="1:17" x14ac:dyDescent="0.25">
      <c r="A174" t="s">
        <v>287</v>
      </c>
      <c r="B174" t="s">
        <v>351</v>
      </c>
      <c r="C174" t="s">
        <v>56</v>
      </c>
      <c r="D174">
        <v>60</v>
      </c>
      <c r="E174" t="s">
        <v>17</v>
      </c>
      <c r="F174" t="s">
        <v>66</v>
      </c>
      <c r="G174" t="s">
        <v>352</v>
      </c>
      <c r="H174" s="2">
        <v>46184</v>
      </c>
      <c r="I174" s="2">
        <v>46193</v>
      </c>
      <c r="J174" t="s">
        <v>362</v>
      </c>
      <c r="K174" t="s">
        <v>31</v>
      </c>
      <c r="L174">
        <v>23513</v>
      </c>
      <c r="M174" t="s">
        <v>358</v>
      </c>
      <c r="N174" t="s">
        <v>39</v>
      </c>
      <c r="O174" t="str">
        <f>IF(AND(Table1_1[[#This Row],[Age]]&gt;=60,Table1_1[[#This Row],[Insurance Status]]="Insured"),"senior Eligible","Not Eligible")</f>
        <v>senior Eligible</v>
      </c>
      <c r="P174" t="str">
        <f>IF(OR(Table1_1[[#This Row],[Treatment Cost]]&gt;=20000,Table1_1[[#This Row],[Room Type]]="ICU"),"High Cost","Normal Cost")</f>
        <v>High Cost</v>
      </c>
      <c r="Q174" t="str">
        <f>IF(Table1_1[[#This Row],[Age]]&lt;=18,"Child",IF(Table1_1[[#This Row],[Age]]&lt;=59,"Adult",IF(Table1_1[[#This Row],[Age]]&gt;=60,"Senior")))</f>
        <v>Senior</v>
      </c>
    </row>
    <row r="175" spans="1:17" x14ac:dyDescent="0.25">
      <c r="A175" t="s">
        <v>266</v>
      </c>
      <c r="B175" t="s">
        <v>355</v>
      </c>
      <c r="C175" t="s">
        <v>56</v>
      </c>
      <c r="D175">
        <v>23</v>
      </c>
      <c r="E175" t="s">
        <v>35</v>
      </c>
      <c r="F175" t="s">
        <v>66</v>
      </c>
      <c r="G175" t="s">
        <v>360</v>
      </c>
      <c r="H175" s="2">
        <v>46105</v>
      </c>
      <c r="I175" s="2">
        <v>46115</v>
      </c>
      <c r="J175" t="s">
        <v>353</v>
      </c>
      <c r="K175" t="s">
        <v>21</v>
      </c>
      <c r="L175">
        <v>22700</v>
      </c>
      <c r="M175" t="s">
        <v>354</v>
      </c>
      <c r="N175" t="s">
        <v>23</v>
      </c>
      <c r="O175" t="str">
        <f>IF(AND(Table1_1[[#This Row],[Age]]&gt;=60,Table1_1[[#This Row],[Insurance Status]]="Insured"),"senior Eligible","Not Eligible")</f>
        <v>Not Eligible</v>
      </c>
      <c r="P175" t="str">
        <f>IF(OR(Table1_1[[#This Row],[Treatment Cost]]&gt;=20000,Table1_1[[#This Row],[Room Type]]="ICU"),"High Cost","Normal Cost")</f>
        <v>High Cost</v>
      </c>
      <c r="Q175" t="str">
        <f>IF(Table1_1[[#This Row],[Age]]&lt;=18,"Child",IF(Table1_1[[#This Row],[Age]]&lt;=59,"Adult",IF(Table1_1[[#This Row],[Age]]&gt;=60,"Senior")))</f>
        <v>Adult</v>
      </c>
    </row>
    <row r="176" spans="1:17" x14ac:dyDescent="0.25">
      <c r="A176" t="s">
        <v>210</v>
      </c>
      <c r="B176" t="s">
        <v>351</v>
      </c>
      <c r="C176" t="s">
        <v>41</v>
      </c>
      <c r="D176">
        <v>79</v>
      </c>
      <c r="E176" t="s">
        <v>17</v>
      </c>
      <c r="F176" t="s">
        <v>66</v>
      </c>
      <c r="G176" t="s">
        <v>54</v>
      </c>
      <c r="H176" s="2">
        <v>46024</v>
      </c>
      <c r="I176" s="2">
        <v>46026</v>
      </c>
      <c r="J176" t="s">
        <v>357</v>
      </c>
      <c r="K176" t="s">
        <v>48</v>
      </c>
      <c r="L176">
        <v>22577</v>
      </c>
      <c r="M176" t="s">
        <v>358</v>
      </c>
      <c r="N176" t="s">
        <v>44</v>
      </c>
      <c r="O176" t="str">
        <f>IF(AND(Table1_1[[#This Row],[Age]]&gt;=60,Table1_1[[#This Row],[Insurance Status]]="Insured"),"senior Eligible","Not Eligible")</f>
        <v>senior Eligible</v>
      </c>
      <c r="P176" t="str">
        <f>IF(OR(Table1_1[[#This Row],[Treatment Cost]]&gt;=20000,Table1_1[[#This Row],[Room Type]]="ICU"),"High Cost","Normal Cost")</f>
        <v>High Cost</v>
      </c>
      <c r="Q176" t="str">
        <f>IF(Table1_1[[#This Row],[Age]]&lt;=18,"Child",IF(Table1_1[[#This Row],[Age]]&lt;=59,"Adult",IF(Table1_1[[#This Row],[Age]]&gt;=60,"Senior")))</f>
        <v>Senior</v>
      </c>
    </row>
    <row r="177" spans="1:17" x14ac:dyDescent="0.25">
      <c r="A177" t="s">
        <v>323</v>
      </c>
      <c r="B177" t="s">
        <v>351</v>
      </c>
      <c r="C177" t="s">
        <v>56</v>
      </c>
      <c r="D177">
        <v>61</v>
      </c>
      <c r="E177" t="s">
        <v>27</v>
      </c>
      <c r="F177" t="s">
        <v>66</v>
      </c>
      <c r="G177" t="s">
        <v>352</v>
      </c>
      <c r="H177" s="2">
        <v>46035</v>
      </c>
      <c r="I177" s="2">
        <v>46039</v>
      </c>
      <c r="J177" t="s">
        <v>362</v>
      </c>
      <c r="K177" t="s">
        <v>48</v>
      </c>
      <c r="L177">
        <v>22420</v>
      </c>
      <c r="M177" t="s">
        <v>358</v>
      </c>
      <c r="N177" t="s">
        <v>23</v>
      </c>
      <c r="O177" t="str">
        <f>IF(AND(Table1_1[[#This Row],[Age]]&gt;=60,Table1_1[[#This Row],[Insurance Status]]="Insured"),"senior Eligible","Not Eligible")</f>
        <v>senior Eligible</v>
      </c>
      <c r="P177" t="str">
        <f>IF(OR(Table1_1[[#This Row],[Treatment Cost]]&gt;=20000,Table1_1[[#This Row],[Room Type]]="ICU"),"High Cost","Normal Cost")</f>
        <v>High Cost</v>
      </c>
      <c r="Q177" t="str">
        <f>IF(Table1_1[[#This Row],[Age]]&lt;=18,"Child",IF(Table1_1[[#This Row],[Age]]&lt;=59,"Adult",IF(Table1_1[[#This Row],[Age]]&gt;=60,"Senior")))</f>
        <v>Senior</v>
      </c>
    </row>
    <row r="178" spans="1:17" x14ac:dyDescent="0.25">
      <c r="A178" t="s">
        <v>202</v>
      </c>
      <c r="B178" t="s">
        <v>364</v>
      </c>
      <c r="C178" t="s">
        <v>41</v>
      </c>
      <c r="D178">
        <v>27</v>
      </c>
      <c r="E178" t="s">
        <v>27</v>
      </c>
      <c r="F178" t="s">
        <v>66</v>
      </c>
      <c r="G178" t="s">
        <v>54</v>
      </c>
      <c r="H178" s="2">
        <v>46185</v>
      </c>
      <c r="I178" s="2">
        <v>46194</v>
      </c>
      <c r="J178" t="s">
        <v>357</v>
      </c>
      <c r="K178" t="s">
        <v>48</v>
      </c>
      <c r="L178">
        <v>21991</v>
      </c>
      <c r="M178" t="s">
        <v>358</v>
      </c>
      <c r="N178" t="s">
        <v>44</v>
      </c>
      <c r="O178" t="str">
        <f>IF(AND(Table1_1[[#This Row],[Age]]&gt;=60,Table1_1[[#This Row],[Insurance Status]]="Insured"),"senior Eligible","Not Eligible")</f>
        <v>Not Eligible</v>
      </c>
      <c r="P178" t="str">
        <f>IF(OR(Table1_1[[#This Row],[Treatment Cost]]&gt;=20000,Table1_1[[#This Row],[Room Type]]="ICU"),"High Cost","Normal Cost")</f>
        <v>High Cost</v>
      </c>
      <c r="Q178" t="str">
        <f>IF(Table1_1[[#This Row],[Age]]&lt;=18,"Child",IF(Table1_1[[#This Row],[Age]]&lt;=59,"Adult",IF(Table1_1[[#This Row],[Age]]&gt;=60,"Senior")))</f>
        <v>Adult</v>
      </c>
    </row>
    <row r="179" spans="1:17" x14ac:dyDescent="0.25">
      <c r="A179" t="s">
        <v>333</v>
      </c>
      <c r="B179" t="s">
        <v>363</v>
      </c>
      <c r="C179" t="s">
        <v>56</v>
      </c>
      <c r="D179">
        <v>33</v>
      </c>
      <c r="E179" t="s">
        <v>17</v>
      </c>
      <c r="F179" t="s">
        <v>66</v>
      </c>
      <c r="G179" t="s">
        <v>356</v>
      </c>
      <c r="H179" s="2">
        <v>46203</v>
      </c>
      <c r="I179" s="2">
        <v>46213</v>
      </c>
      <c r="J179" t="s">
        <v>362</v>
      </c>
      <c r="K179" t="s">
        <v>37</v>
      </c>
      <c r="L179">
        <v>21442</v>
      </c>
      <c r="M179" t="s">
        <v>354</v>
      </c>
      <c r="N179" t="s">
        <v>23</v>
      </c>
      <c r="O179" t="str">
        <f>IF(AND(Table1_1[[#This Row],[Age]]&gt;=60,Table1_1[[#This Row],[Insurance Status]]="Insured"),"senior Eligible","Not Eligible")</f>
        <v>Not Eligible</v>
      </c>
      <c r="P179" t="str">
        <f>IF(OR(Table1_1[[#This Row],[Treatment Cost]]&gt;=20000,Table1_1[[#This Row],[Room Type]]="ICU"),"High Cost","Normal Cost")</f>
        <v>High Cost</v>
      </c>
      <c r="Q179" t="str">
        <f>IF(Table1_1[[#This Row],[Age]]&lt;=18,"Child",IF(Table1_1[[#This Row],[Age]]&lt;=59,"Adult",IF(Table1_1[[#This Row],[Age]]&gt;=60,"Senior")))</f>
        <v>Adult</v>
      </c>
    </row>
    <row r="180" spans="1:17" x14ac:dyDescent="0.25">
      <c r="A180" t="s">
        <v>199</v>
      </c>
      <c r="B180" t="s">
        <v>359</v>
      </c>
      <c r="C180" t="s">
        <v>41</v>
      </c>
      <c r="D180">
        <v>56</v>
      </c>
      <c r="E180" t="s">
        <v>27</v>
      </c>
      <c r="F180" t="s">
        <v>66</v>
      </c>
      <c r="G180" t="s">
        <v>356</v>
      </c>
      <c r="H180" s="2">
        <v>46029</v>
      </c>
      <c r="I180" s="2">
        <v>46033</v>
      </c>
      <c r="J180" t="s">
        <v>353</v>
      </c>
      <c r="K180" t="s">
        <v>48</v>
      </c>
      <c r="L180">
        <v>21143</v>
      </c>
      <c r="M180" t="s">
        <v>354</v>
      </c>
      <c r="N180" t="s">
        <v>23</v>
      </c>
      <c r="O180" t="str">
        <f>IF(AND(Table1_1[[#This Row],[Age]]&gt;=60,Table1_1[[#This Row],[Insurance Status]]="Insured"),"senior Eligible","Not Eligible")</f>
        <v>Not Eligible</v>
      </c>
      <c r="P180" t="str">
        <f>IF(OR(Table1_1[[#This Row],[Treatment Cost]]&gt;=20000,Table1_1[[#This Row],[Room Type]]="ICU"),"High Cost","Normal Cost")</f>
        <v>High Cost</v>
      </c>
      <c r="Q180" t="str">
        <f>IF(Table1_1[[#This Row],[Age]]&lt;=18,"Child",IF(Table1_1[[#This Row],[Age]]&lt;=59,"Adult",IF(Table1_1[[#This Row],[Age]]&gt;=60,"Senior")))</f>
        <v>Adult</v>
      </c>
    </row>
    <row r="181" spans="1:17" x14ac:dyDescent="0.25">
      <c r="A181" t="s">
        <v>321</v>
      </c>
      <c r="B181" t="s">
        <v>361</v>
      </c>
      <c r="C181" t="s">
        <v>56</v>
      </c>
      <c r="D181">
        <v>54</v>
      </c>
      <c r="E181" t="s">
        <v>47</v>
      </c>
      <c r="F181" t="s">
        <v>66</v>
      </c>
      <c r="G181" t="s">
        <v>54</v>
      </c>
      <c r="H181" s="2">
        <v>46104</v>
      </c>
      <c r="I181" s="2">
        <v>46111</v>
      </c>
      <c r="J181" t="s">
        <v>357</v>
      </c>
      <c r="K181" t="s">
        <v>21</v>
      </c>
      <c r="L181">
        <v>21050</v>
      </c>
      <c r="M181" t="s">
        <v>358</v>
      </c>
      <c r="N181" t="s">
        <v>39</v>
      </c>
      <c r="O181" t="str">
        <f>IF(AND(Table1_1[[#This Row],[Age]]&gt;=60,Table1_1[[#This Row],[Insurance Status]]="Insured"),"senior Eligible","Not Eligible")</f>
        <v>Not Eligible</v>
      </c>
      <c r="P181" t="str">
        <f>IF(OR(Table1_1[[#This Row],[Treatment Cost]]&gt;=20000,Table1_1[[#This Row],[Room Type]]="ICU"),"High Cost","Normal Cost")</f>
        <v>High Cost</v>
      </c>
      <c r="Q181" t="str">
        <f>IF(Table1_1[[#This Row],[Age]]&lt;=18,"Child",IF(Table1_1[[#This Row],[Age]]&lt;=59,"Adult",IF(Table1_1[[#This Row],[Age]]&gt;=60,"Senior")))</f>
        <v>Adult</v>
      </c>
    </row>
    <row r="182" spans="1:17" x14ac:dyDescent="0.25">
      <c r="A182" t="s">
        <v>279</v>
      </c>
      <c r="B182" t="s">
        <v>355</v>
      </c>
      <c r="C182" t="s">
        <v>41</v>
      </c>
      <c r="D182">
        <v>18</v>
      </c>
      <c r="E182" t="s">
        <v>27</v>
      </c>
      <c r="F182" t="s">
        <v>66</v>
      </c>
      <c r="G182" t="s">
        <v>352</v>
      </c>
      <c r="H182" s="2">
        <v>46081</v>
      </c>
      <c r="I182" s="2">
        <v>46083</v>
      </c>
      <c r="J182" t="s">
        <v>353</v>
      </c>
      <c r="K182" t="s">
        <v>31</v>
      </c>
      <c r="L182">
        <v>20420</v>
      </c>
      <c r="M182" t="s">
        <v>358</v>
      </c>
      <c r="N182" t="s">
        <v>39</v>
      </c>
      <c r="O182" t="str">
        <f>IF(AND(Table1_1[[#This Row],[Age]]&gt;=60,Table1_1[[#This Row],[Insurance Status]]="Insured"),"senior Eligible","Not Eligible")</f>
        <v>Not Eligible</v>
      </c>
      <c r="P182" t="str">
        <f>IF(OR(Table1_1[[#This Row],[Treatment Cost]]&gt;=20000,Table1_1[[#This Row],[Room Type]]="ICU"),"High Cost","Normal Cost")</f>
        <v>High Cost</v>
      </c>
      <c r="Q182" t="str">
        <f>IF(Table1_1[[#This Row],[Age]]&lt;=18,"Child",IF(Table1_1[[#This Row],[Age]]&lt;=59,"Adult",IF(Table1_1[[#This Row],[Age]]&gt;=60,"Senior")))</f>
        <v>Child</v>
      </c>
    </row>
    <row r="183" spans="1:17" x14ac:dyDescent="0.25">
      <c r="A183" t="s">
        <v>82</v>
      </c>
      <c r="B183" t="s">
        <v>359</v>
      </c>
      <c r="C183" t="s">
        <v>41</v>
      </c>
      <c r="D183">
        <v>72</v>
      </c>
      <c r="E183" t="s">
        <v>27</v>
      </c>
      <c r="F183" t="s">
        <v>66</v>
      </c>
      <c r="G183" t="s">
        <v>352</v>
      </c>
      <c r="H183" s="2">
        <v>46188</v>
      </c>
      <c r="I183" s="2">
        <v>46195</v>
      </c>
      <c r="J183" t="s">
        <v>357</v>
      </c>
      <c r="K183" t="s">
        <v>21</v>
      </c>
      <c r="L183">
        <v>17378</v>
      </c>
      <c r="M183" t="s">
        <v>354</v>
      </c>
      <c r="N183" t="s">
        <v>44</v>
      </c>
      <c r="O183" t="str">
        <f>IF(AND(Table1_1[[#This Row],[Age]]&gt;=60,Table1_1[[#This Row],[Insurance Status]]="Insured"),"senior Eligible","Not Eligible")</f>
        <v>Not Eligible</v>
      </c>
      <c r="P183" t="str">
        <f>IF(OR(Table1_1[[#This Row],[Treatment Cost]]&gt;=20000,Table1_1[[#This Row],[Room Type]]="ICU"),"High Cost","Normal Cost")</f>
        <v>Normal Cost</v>
      </c>
      <c r="Q183" t="str">
        <f>IF(Table1_1[[#This Row],[Age]]&lt;=18,"Child",IF(Table1_1[[#This Row],[Age]]&lt;=59,"Adult",IF(Table1_1[[#This Row],[Age]]&gt;=60,"Senior")))</f>
        <v>Senior</v>
      </c>
    </row>
    <row r="184" spans="1:17" x14ac:dyDescent="0.25">
      <c r="A184" t="s">
        <v>121</v>
      </c>
      <c r="B184" t="s">
        <v>361</v>
      </c>
      <c r="C184" t="s">
        <v>41</v>
      </c>
      <c r="D184">
        <v>47</v>
      </c>
      <c r="E184" t="s">
        <v>17</v>
      </c>
      <c r="F184" t="s">
        <v>66</v>
      </c>
      <c r="G184" t="s">
        <v>54</v>
      </c>
      <c r="H184" s="2">
        <v>46153</v>
      </c>
      <c r="I184" s="2">
        <v>46155</v>
      </c>
      <c r="J184" t="s">
        <v>357</v>
      </c>
      <c r="K184" t="s">
        <v>31</v>
      </c>
      <c r="L184">
        <v>16917</v>
      </c>
      <c r="M184" t="s">
        <v>354</v>
      </c>
      <c r="N184" t="s">
        <v>39</v>
      </c>
      <c r="O184" t="str">
        <f>IF(AND(Table1_1[[#This Row],[Age]]&gt;=60,Table1_1[[#This Row],[Insurance Status]]="Insured"),"senior Eligible","Not Eligible")</f>
        <v>Not Eligible</v>
      </c>
      <c r="P184" t="str">
        <f>IF(OR(Table1_1[[#This Row],[Treatment Cost]]&gt;=20000,Table1_1[[#This Row],[Room Type]]="ICU"),"High Cost","Normal Cost")</f>
        <v>High Cost</v>
      </c>
      <c r="Q184" t="str">
        <f>IF(Table1_1[[#This Row],[Age]]&lt;=18,"Child",IF(Table1_1[[#This Row],[Age]]&lt;=59,"Adult",IF(Table1_1[[#This Row],[Age]]&gt;=60,"Senior")))</f>
        <v>Adult</v>
      </c>
    </row>
    <row r="185" spans="1:17" x14ac:dyDescent="0.25">
      <c r="A185" t="s">
        <v>222</v>
      </c>
      <c r="B185" t="s">
        <v>359</v>
      </c>
      <c r="C185" t="s">
        <v>41</v>
      </c>
      <c r="D185">
        <v>46</v>
      </c>
      <c r="E185" t="s">
        <v>17</v>
      </c>
      <c r="F185" t="s">
        <v>66</v>
      </c>
      <c r="G185" t="s">
        <v>352</v>
      </c>
      <c r="H185" s="2">
        <v>46044</v>
      </c>
      <c r="I185" s="2">
        <v>46053</v>
      </c>
      <c r="J185" t="s">
        <v>357</v>
      </c>
      <c r="K185" t="s">
        <v>37</v>
      </c>
      <c r="L185">
        <v>16702</v>
      </c>
      <c r="M185" t="s">
        <v>354</v>
      </c>
      <c r="N185" t="s">
        <v>23</v>
      </c>
      <c r="O185" t="str">
        <f>IF(AND(Table1_1[[#This Row],[Age]]&gt;=60,Table1_1[[#This Row],[Insurance Status]]="Insured"),"senior Eligible","Not Eligible")</f>
        <v>Not Eligible</v>
      </c>
      <c r="P185" t="str">
        <f>IF(OR(Table1_1[[#This Row],[Treatment Cost]]&gt;=20000,Table1_1[[#This Row],[Room Type]]="ICU"),"High Cost","Normal Cost")</f>
        <v>Normal Cost</v>
      </c>
      <c r="Q185" t="str">
        <f>IF(Table1_1[[#This Row],[Age]]&lt;=18,"Child",IF(Table1_1[[#This Row],[Age]]&lt;=59,"Adult",IF(Table1_1[[#This Row],[Age]]&gt;=60,"Senior")))</f>
        <v>Adult</v>
      </c>
    </row>
    <row r="186" spans="1:17" x14ac:dyDescent="0.25">
      <c r="A186" t="s">
        <v>253</v>
      </c>
      <c r="B186" t="s">
        <v>351</v>
      </c>
      <c r="C186" t="s">
        <v>56</v>
      </c>
      <c r="D186">
        <v>79</v>
      </c>
      <c r="E186" t="s">
        <v>17</v>
      </c>
      <c r="F186" t="s">
        <v>66</v>
      </c>
      <c r="G186" t="s">
        <v>360</v>
      </c>
      <c r="H186" s="2">
        <v>46195</v>
      </c>
      <c r="I186" s="2">
        <v>46199</v>
      </c>
      <c r="J186" t="s">
        <v>357</v>
      </c>
      <c r="K186" t="s">
        <v>21</v>
      </c>
      <c r="L186">
        <v>16141</v>
      </c>
      <c r="M186" t="s">
        <v>354</v>
      </c>
      <c r="N186" t="s">
        <v>39</v>
      </c>
      <c r="O186" t="str">
        <f>IF(AND(Table1_1[[#This Row],[Age]]&gt;=60,Table1_1[[#This Row],[Insurance Status]]="Insured"),"senior Eligible","Not Eligible")</f>
        <v>Not Eligible</v>
      </c>
      <c r="P186" t="str">
        <f>IF(OR(Table1_1[[#This Row],[Treatment Cost]]&gt;=20000,Table1_1[[#This Row],[Room Type]]="ICU"),"High Cost","Normal Cost")</f>
        <v>High Cost</v>
      </c>
      <c r="Q186" t="str">
        <f>IF(Table1_1[[#This Row],[Age]]&lt;=18,"Child",IF(Table1_1[[#This Row],[Age]]&lt;=59,"Adult",IF(Table1_1[[#This Row],[Age]]&gt;=60,"Senior")))</f>
        <v>Senior</v>
      </c>
    </row>
    <row r="187" spans="1:17" x14ac:dyDescent="0.25">
      <c r="A187" t="s">
        <v>189</v>
      </c>
      <c r="B187" t="s">
        <v>364</v>
      </c>
      <c r="C187" t="s">
        <v>56</v>
      </c>
      <c r="D187">
        <v>42</v>
      </c>
      <c r="E187" t="s">
        <v>27</v>
      </c>
      <c r="F187" t="s">
        <v>66</v>
      </c>
      <c r="G187" t="s">
        <v>356</v>
      </c>
      <c r="H187" s="2">
        <v>46193</v>
      </c>
      <c r="I187" s="2">
        <v>46201</v>
      </c>
      <c r="J187" t="s">
        <v>357</v>
      </c>
      <c r="K187" t="s">
        <v>37</v>
      </c>
      <c r="L187">
        <v>15968</v>
      </c>
      <c r="M187" t="s">
        <v>358</v>
      </c>
      <c r="N187" t="s">
        <v>44</v>
      </c>
      <c r="O187" t="str">
        <f>IF(AND(Table1_1[[#This Row],[Age]]&gt;=60,Table1_1[[#This Row],[Insurance Status]]="Insured"),"senior Eligible","Not Eligible")</f>
        <v>Not Eligible</v>
      </c>
      <c r="P187" t="str">
        <f>IF(OR(Table1_1[[#This Row],[Treatment Cost]]&gt;=20000,Table1_1[[#This Row],[Room Type]]="ICU"),"High Cost","Normal Cost")</f>
        <v>Normal Cost</v>
      </c>
      <c r="Q187" t="str">
        <f>IF(Table1_1[[#This Row],[Age]]&lt;=18,"Child",IF(Table1_1[[#This Row],[Age]]&lt;=59,"Adult",IF(Table1_1[[#This Row],[Age]]&gt;=60,"Senior")))</f>
        <v>Adult</v>
      </c>
    </row>
    <row r="188" spans="1:17" x14ac:dyDescent="0.25">
      <c r="A188" t="s">
        <v>303</v>
      </c>
      <c r="B188" t="s">
        <v>351</v>
      </c>
      <c r="C188" t="s">
        <v>56</v>
      </c>
      <c r="D188">
        <v>24</v>
      </c>
      <c r="E188" t="s">
        <v>27</v>
      </c>
      <c r="F188" t="s">
        <v>66</v>
      </c>
      <c r="G188" t="s">
        <v>360</v>
      </c>
      <c r="H188" s="2">
        <v>46140</v>
      </c>
      <c r="I188" s="2">
        <v>46147</v>
      </c>
      <c r="J188" t="s">
        <v>353</v>
      </c>
      <c r="K188" t="s">
        <v>31</v>
      </c>
      <c r="L188">
        <v>15743</v>
      </c>
      <c r="M188" t="s">
        <v>358</v>
      </c>
      <c r="N188" t="s">
        <v>44</v>
      </c>
      <c r="O188" t="str">
        <f>IF(AND(Table1_1[[#This Row],[Age]]&gt;=60,Table1_1[[#This Row],[Insurance Status]]="Insured"),"senior Eligible","Not Eligible")</f>
        <v>Not Eligible</v>
      </c>
      <c r="P188" t="str">
        <f>IF(OR(Table1_1[[#This Row],[Treatment Cost]]&gt;=20000,Table1_1[[#This Row],[Room Type]]="ICU"),"High Cost","Normal Cost")</f>
        <v>Normal Cost</v>
      </c>
      <c r="Q188" t="str">
        <f>IF(Table1_1[[#This Row],[Age]]&lt;=18,"Child",IF(Table1_1[[#This Row],[Age]]&lt;=59,"Adult",IF(Table1_1[[#This Row],[Age]]&gt;=60,"Senior")))</f>
        <v>Adult</v>
      </c>
    </row>
    <row r="189" spans="1:17" x14ac:dyDescent="0.25">
      <c r="A189" t="s">
        <v>102</v>
      </c>
      <c r="B189" t="s">
        <v>363</v>
      </c>
      <c r="C189" t="s">
        <v>56</v>
      </c>
      <c r="D189">
        <v>51</v>
      </c>
      <c r="E189" t="s">
        <v>35</v>
      </c>
      <c r="F189" t="s">
        <v>66</v>
      </c>
      <c r="G189" t="s">
        <v>352</v>
      </c>
      <c r="H189" s="2">
        <v>46152</v>
      </c>
      <c r="I189" s="2">
        <v>46161</v>
      </c>
      <c r="J189" t="s">
        <v>357</v>
      </c>
      <c r="K189" t="s">
        <v>37</v>
      </c>
      <c r="L189">
        <v>15487</v>
      </c>
      <c r="M189" t="s">
        <v>358</v>
      </c>
      <c r="N189" t="s">
        <v>44</v>
      </c>
      <c r="O189" t="str">
        <f>IF(AND(Table1_1[[#This Row],[Age]]&gt;=60,Table1_1[[#This Row],[Insurance Status]]="Insured"),"senior Eligible","Not Eligible")</f>
        <v>Not Eligible</v>
      </c>
      <c r="P189" t="str">
        <f>IF(OR(Table1_1[[#This Row],[Treatment Cost]]&gt;=20000,Table1_1[[#This Row],[Room Type]]="ICU"),"High Cost","Normal Cost")</f>
        <v>Normal Cost</v>
      </c>
      <c r="Q189" t="str">
        <f>IF(Table1_1[[#This Row],[Age]]&lt;=18,"Child",IF(Table1_1[[#This Row],[Age]]&lt;=59,"Adult",IF(Table1_1[[#This Row],[Age]]&gt;=60,"Senior")))</f>
        <v>Adult</v>
      </c>
    </row>
    <row r="190" spans="1:17" x14ac:dyDescent="0.25">
      <c r="A190" t="s">
        <v>168</v>
      </c>
      <c r="B190" t="s">
        <v>363</v>
      </c>
      <c r="C190" t="s">
        <v>41</v>
      </c>
      <c r="D190">
        <v>26</v>
      </c>
      <c r="E190" t="s">
        <v>35</v>
      </c>
      <c r="F190" t="s">
        <v>66</v>
      </c>
      <c r="G190" t="s">
        <v>360</v>
      </c>
      <c r="H190" s="2">
        <v>46119</v>
      </c>
      <c r="I190" s="2">
        <v>46125</v>
      </c>
      <c r="J190" t="s">
        <v>357</v>
      </c>
      <c r="K190" t="s">
        <v>31</v>
      </c>
      <c r="L190">
        <v>13982</v>
      </c>
      <c r="M190" t="s">
        <v>354</v>
      </c>
      <c r="N190" t="s">
        <v>44</v>
      </c>
      <c r="O190" t="str">
        <f>IF(AND(Table1_1[[#This Row],[Age]]&gt;=60,Table1_1[[#This Row],[Insurance Status]]="Insured"),"senior Eligible","Not Eligible")</f>
        <v>Not Eligible</v>
      </c>
      <c r="P190" t="str">
        <f>IF(OR(Table1_1[[#This Row],[Treatment Cost]]&gt;=20000,Table1_1[[#This Row],[Room Type]]="ICU"),"High Cost","Normal Cost")</f>
        <v>Normal Cost</v>
      </c>
      <c r="Q190" t="str">
        <f>IF(Table1_1[[#This Row],[Age]]&lt;=18,"Child",IF(Table1_1[[#This Row],[Age]]&lt;=59,"Adult",IF(Table1_1[[#This Row],[Age]]&gt;=60,"Senior")))</f>
        <v>Adult</v>
      </c>
    </row>
    <row r="191" spans="1:17" x14ac:dyDescent="0.25">
      <c r="A191" t="s">
        <v>296</v>
      </c>
      <c r="B191" t="s">
        <v>364</v>
      </c>
      <c r="C191" t="s">
        <v>56</v>
      </c>
      <c r="D191">
        <v>67</v>
      </c>
      <c r="E191" t="s">
        <v>47</v>
      </c>
      <c r="F191" t="s">
        <v>66</v>
      </c>
      <c r="G191" t="s">
        <v>356</v>
      </c>
      <c r="H191" s="2">
        <v>46094</v>
      </c>
      <c r="I191" s="2">
        <v>46102</v>
      </c>
      <c r="J191" t="s">
        <v>357</v>
      </c>
      <c r="K191" t="s">
        <v>21</v>
      </c>
      <c r="L191">
        <v>12967</v>
      </c>
      <c r="M191" t="s">
        <v>354</v>
      </c>
      <c r="N191" t="s">
        <v>23</v>
      </c>
      <c r="O191" t="str">
        <f>IF(AND(Table1_1[[#This Row],[Age]]&gt;=60,Table1_1[[#This Row],[Insurance Status]]="Insured"),"senior Eligible","Not Eligible")</f>
        <v>Not Eligible</v>
      </c>
      <c r="P191" t="str">
        <f>IF(OR(Table1_1[[#This Row],[Treatment Cost]]&gt;=20000,Table1_1[[#This Row],[Room Type]]="ICU"),"High Cost","Normal Cost")</f>
        <v>Normal Cost</v>
      </c>
      <c r="Q191" t="str">
        <f>IF(Table1_1[[#This Row],[Age]]&lt;=18,"Child",IF(Table1_1[[#This Row],[Age]]&lt;=59,"Adult",IF(Table1_1[[#This Row],[Age]]&gt;=60,"Senior")))</f>
        <v>Senior</v>
      </c>
    </row>
    <row r="192" spans="1:17" x14ac:dyDescent="0.25">
      <c r="A192" t="s">
        <v>310</v>
      </c>
      <c r="B192" t="s">
        <v>364</v>
      </c>
      <c r="C192" t="s">
        <v>41</v>
      </c>
      <c r="D192">
        <v>25</v>
      </c>
      <c r="E192" t="s">
        <v>35</v>
      </c>
      <c r="F192" t="s">
        <v>66</v>
      </c>
      <c r="G192" t="s">
        <v>352</v>
      </c>
      <c r="H192" s="2">
        <v>46113</v>
      </c>
      <c r="I192" s="2">
        <v>46122</v>
      </c>
      <c r="J192" t="s">
        <v>353</v>
      </c>
      <c r="K192" t="s">
        <v>21</v>
      </c>
      <c r="L192">
        <v>12741</v>
      </c>
      <c r="M192" t="s">
        <v>354</v>
      </c>
      <c r="N192" t="s">
        <v>44</v>
      </c>
      <c r="O192" t="str">
        <f>IF(AND(Table1_1[[#This Row],[Age]]&gt;=60,Table1_1[[#This Row],[Insurance Status]]="Insured"),"senior Eligible","Not Eligible")</f>
        <v>Not Eligible</v>
      </c>
      <c r="P192" t="str">
        <f>IF(OR(Table1_1[[#This Row],[Treatment Cost]]&gt;=20000,Table1_1[[#This Row],[Room Type]]="ICU"),"High Cost","Normal Cost")</f>
        <v>Normal Cost</v>
      </c>
      <c r="Q192" t="str">
        <f>IF(Table1_1[[#This Row],[Age]]&lt;=18,"Child",IF(Table1_1[[#This Row],[Age]]&lt;=59,"Adult",IF(Table1_1[[#This Row],[Age]]&gt;=60,"Senior")))</f>
        <v>Adult</v>
      </c>
    </row>
    <row r="193" spans="1:17" x14ac:dyDescent="0.25">
      <c r="A193" t="s">
        <v>98</v>
      </c>
      <c r="B193" t="s">
        <v>351</v>
      </c>
      <c r="C193" t="s">
        <v>41</v>
      </c>
      <c r="D193">
        <v>21</v>
      </c>
      <c r="E193" t="s">
        <v>35</v>
      </c>
      <c r="F193" t="s">
        <v>66</v>
      </c>
      <c r="G193" t="s">
        <v>54</v>
      </c>
      <c r="H193" s="2">
        <v>46094</v>
      </c>
      <c r="I193" s="2">
        <v>46104</v>
      </c>
      <c r="J193" t="s">
        <v>357</v>
      </c>
      <c r="K193" t="s">
        <v>48</v>
      </c>
      <c r="L193">
        <v>11924</v>
      </c>
      <c r="M193" t="s">
        <v>354</v>
      </c>
      <c r="N193" t="s">
        <v>39</v>
      </c>
      <c r="O193" t="str">
        <f>IF(AND(Table1_1[[#This Row],[Age]]&gt;=60,Table1_1[[#This Row],[Insurance Status]]="Insured"),"senior Eligible","Not Eligible")</f>
        <v>Not Eligible</v>
      </c>
      <c r="P193" t="str">
        <f>IF(OR(Table1_1[[#This Row],[Treatment Cost]]&gt;=20000,Table1_1[[#This Row],[Room Type]]="ICU"),"High Cost","Normal Cost")</f>
        <v>High Cost</v>
      </c>
      <c r="Q193" t="str">
        <f>IF(Table1_1[[#This Row],[Age]]&lt;=18,"Child",IF(Table1_1[[#This Row],[Age]]&lt;=59,"Adult",IF(Table1_1[[#This Row],[Age]]&gt;=60,"Senior")))</f>
        <v>Adult</v>
      </c>
    </row>
    <row r="194" spans="1:17" x14ac:dyDescent="0.25">
      <c r="A194" t="s">
        <v>262</v>
      </c>
      <c r="B194" t="s">
        <v>363</v>
      </c>
      <c r="C194" t="s">
        <v>41</v>
      </c>
      <c r="D194">
        <v>22</v>
      </c>
      <c r="E194" t="s">
        <v>47</v>
      </c>
      <c r="F194" t="s">
        <v>66</v>
      </c>
      <c r="G194" t="s">
        <v>356</v>
      </c>
      <c r="H194" s="2">
        <v>46038</v>
      </c>
      <c r="I194" s="2">
        <v>46041</v>
      </c>
      <c r="J194" t="s">
        <v>357</v>
      </c>
      <c r="K194" t="s">
        <v>48</v>
      </c>
      <c r="L194">
        <v>7604</v>
      </c>
      <c r="M194" t="s">
        <v>354</v>
      </c>
      <c r="N194" t="s">
        <v>44</v>
      </c>
      <c r="O194" t="str">
        <f>IF(AND(Table1_1[[#This Row],[Age]]&gt;=60,Table1_1[[#This Row],[Insurance Status]]="Insured"),"senior Eligible","Not Eligible")</f>
        <v>Not Eligible</v>
      </c>
      <c r="P194" t="str">
        <f>IF(OR(Table1_1[[#This Row],[Treatment Cost]]&gt;=20000,Table1_1[[#This Row],[Room Type]]="ICU"),"High Cost","Normal Cost")</f>
        <v>Normal Cost</v>
      </c>
      <c r="Q194" t="str">
        <f>IF(Table1_1[[#This Row],[Age]]&lt;=18,"Child",IF(Table1_1[[#This Row],[Age]]&lt;=59,"Adult",IF(Table1_1[[#This Row],[Age]]&gt;=60,"Senior")))</f>
        <v>Adult</v>
      </c>
    </row>
    <row r="195" spans="1:17" x14ac:dyDescent="0.25">
      <c r="A195" t="s">
        <v>69</v>
      </c>
      <c r="B195" t="s">
        <v>359</v>
      </c>
      <c r="C195" t="s">
        <v>41</v>
      </c>
      <c r="D195">
        <v>62</v>
      </c>
      <c r="E195" t="s">
        <v>35</v>
      </c>
      <c r="F195" t="s">
        <v>66</v>
      </c>
      <c r="G195" t="s">
        <v>356</v>
      </c>
      <c r="H195" s="2">
        <v>46125</v>
      </c>
      <c r="I195" s="2">
        <v>46132</v>
      </c>
      <c r="J195" t="s">
        <v>353</v>
      </c>
      <c r="K195" t="s">
        <v>37</v>
      </c>
      <c r="L195">
        <v>7464</v>
      </c>
      <c r="M195" t="s">
        <v>354</v>
      </c>
      <c r="N195" t="s">
        <v>39</v>
      </c>
      <c r="O195" t="str">
        <f>IF(AND(Table1_1[[#This Row],[Age]]&gt;=60,Table1_1[[#This Row],[Insurance Status]]="Insured"),"senior Eligible","Not Eligible")</f>
        <v>Not Eligible</v>
      </c>
      <c r="P195" t="str">
        <f>IF(OR(Table1_1[[#This Row],[Treatment Cost]]&gt;=20000,Table1_1[[#This Row],[Room Type]]="ICU"),"High Cost","Normal Cost")</f>
        <v>High Cost</v>
      </c>
      <c r="Q195" t="str">
        <f>IF(Table1_1[[#This Row],[Age]]&lt;=18,"Child",IF(Table1_1[[#This Row],[Age]]&lt;=59,"Adult",IF(Table1_1[[#This Row],[Age]]&gt;=60,"Senior")))</f>
        <v>Senior</v>
      </c>
    </row>
    <row r="196" spans="1:17" x14ac:dyDescent="0.25">
      <c r="A196" t="s">
        <v>291</v>
      </c>
      <c r="B196" t="s">
        <v>364</v>
      </c>
      <c r="C196" t="s">
        <v>56</v>
      </c>
      <c r="D196">
        <v>75</v>
      </c>
      <c r="E196" t="s">
        <v>47</v>
      </c>
      <c r="F196" t="s">
        <v>66</v>
      </c>
      <c r="G196" t="s">
        <v>54</v>
      </c>
      <c r="H196" s="2">
        <v>46092</v>
      </c>
      <c r="I196" s="2">
        <v>46100</v>
      </c>
      <c r="J196" t="s">
        <v>357</v>
      </c>
      <c r="K196" t="s">
        <v>21</v>
      </c>
      <c r="L196">
        <v>7461</v>
      </c>
      <c r="M196" t="s">
        <v>358</v>
      </c>
      <c r="N196" t="s">
        <v>39</v>
      </c>
      <c r="O196" t="str">
        <f>IF(AND(Table1_1[[#This Row],[Age]]&gt;=60,Table1_1[[#This Row],[Insurance Status]]="Insured"),"senior Eligible","Not Eligible")</f>
        <v>senior Eligible</v>
      </c>
      <c r="P196" t="str">
        <f>IF(OR(Table1_1[[#This Row],[Treatment Cost]]&gt;=20000,Table1_1[[#This Row],[Room Type]]="ICU"),"High Cost","Normal Cost")</f>
        <v>High Cost</v>
      </c>
      <c r="Q196" t="str">
        <f>IF(Table1_1[[#This Row],[Age]]&lt;=18,"Child",IF(Table1_1[[#This Row],[Age]]&lt;=59,"Adult",IF(Table1_1[[#This Row],[Age]]&gt;=60,"Senior")))</f>
        <v>Senior</v>
      </c>
    </row>
    <row r="197" spans="1:17" x14ac:dyDescent="0.25">
      <c r="A197" t="s">
        <v>212</v>
      </c>
      <c r="B197" t="s">
        <v>363</v>
      </c>
      <c r="C197" t="s">
        <v>56</v>
      </c>
      <c r="D197">
        <v>38</v>
      </c>
      <c r="E197" t="s">
        <v>47</v>
      </c>
      <c r="F197" t="s">
        <v>66</v>
      </c>
      <c r="G197" t="s">
        <v>352</v>
      </c>
      <c r="H197" s="2">
        <v>46035</v>
      </c>
      <c r="I197" s="2">
        <v>46042</v>
      </c>
      <c r="J197" t="s">
        <v>362</v>
      </c>
      <c r="K197" t="s">
        <v>31</v>
      </c>
      <c r="L197">
        <v>5727</v>
      </c>
      <c r="M197" t="s">
        <v>358</v>
      </c>
      <c r="N197" t="s">
        <v>44</v>
      </c>
      <c r="O197" t="str">
        <f>IF(AND(Table1_1[[#This Row],[Age]]&gt;=60,Table1_1[[#This Row],[Insurance Status]]="Insured"),"senior Eligible","Not Eligible")</f>
        <v>Not Eligible</v>
      </c>
      <c r="P197" t="str">
        <f>IF(OR(Table1_1[[#This Row],[Treatment Cost]]&gt;=20000,Table1_1[[#This Row],[Room Type]]="ICU"),"High Cost","Normal Cost")</f>
        <v>Normal Cost</v>
      </c>
      <c r="Q197" t="str">
        <f>IF(Table1_1[[#This Row],[Age]]&lt;=18,"Child",IF(Table1_1[[#This Row],[Age]]&lt;=59,"Adult",IF(Table1_1[[#This Row],[Age]]&gt;=60,"Senior")))</f>
        <v>Adult</v>
      </c>
    </row>
    <row r="198" spans="1:17" x14ac:dyDescent="0.25">
      <c r="A198" t="s">
        <v>298</v>
      </c>
      <c r="B198" t="s">
        <v>364</v>
      </c>
      <c r="C198" t="s">
        <v>56</v>
      </c>
      <c r="D198">
        <v>53</v>
      </c>
      <c r="E198" t="s">
        <v>47</v>
      </c>
      <c r="F198" t="s">
        <v>66</v>
      </c>
      <c r="G198" t="s">
        <v>54</v>
      </c>
      <c r="H198" s="2">
        <v>46026</v>
      </c>
      <c r="I198" s="2">
        <v>46034</v>
      </c>
      <c r="J198" t="s">
        <v>357</v>
      </c>
      <c r="K198" t="s">
        <v>48</v>
      </c>
      <c r="L198">
        <v>5683</v>
      </c>
      <c r="M198" t="s">
        <v>358</v>
      </c>
      <c r="N198" t="s">
        <v>39</v>
      </c>
      <c r="O198" t="str">
        <f>IF(AND(Table1_1[[#This Row],[Age]]&gt;=60,Table1_1[[#This Row],[Insurance Status]]="Insured"),"senior Eligible","Not Eligible")</f>
        <v>Not Eligible</v>
      </c>
      <c r="P198" t="str">
        <f>IF(OR(Table1_1[[#This Row],[Treatment Cost]]&gt;=20000,Table1_1[[#This Row],[Room Type]]="ICU"),"High Cost","Normal Cost")</f>
        <v>High Cost</v>
      </c>
      <c r="Q198" t="str">
        <f>IF(Table1_1[[#This Row],[Age]]&lt;=18,"Child",IF(Table1_1[[#This Row],[Age]]&lt;=59,"Adult",IF(Table1_1[[#This Row],[Age]]&gt;=60,"Senior")))</f>
        <v>Adult</v>
      </c>
    </row>
    <row r="199" spans="1:17" x14ac:dyDescent="0.25">
      <c r="A199" t="s">
        <v>219</v>
      </c>
      <c r="B199" t="s">
        <v>363</v>
      </c>
      <c r="C199" t="s">
        <v>56</v>
      </c>
      <c r="D199">
        <v>52</v>
      </c>
      <c r="E199" t="s">
        <v>47</v>
      </c>
      <c r="F199" t="s">
        <v>66</v>
      </c>
      <c r="G199" t="s">
        <v>360</v>
      </c>
      <c r="H199" s="2">
        <v>46051</v>
      </c>
      <c r="I199" s="2">
        <v>46053</v>
      </c>
      <c r="J199" t="s">
        <v>353</v>
      </c>
      <c r="K199" t="s">
        <v>31</v>
      </c>
      <c r="L199">
        <v>4339</v>
      </c>
      <c r="M199" t="s">
        <v>354</v>
      </c>
      <c r="N199" t="s">
        <v>39</v>
      </c>
      <c r="O199" t="str">
        <f>IF(AND(Table1_1[[#This Row],[Age]]&gt;=60,Table1_1[[#This Row],[Insurance Status]]="Insured"),"senior Eligible","Not Eligible")</f>
        <v>Not Eligible</v>
      </c>
      <c r="P199" t="str">
        <f>IF(OR(Table1_1[[#This Row],[Treatment Cost]]&gt;=20000,Table1_1[[#This Row],[Room Type]]="ICU"),"High Cost","Normal Cost")</f>
        <v>High Cost</v>
      </c>
      <c r="Q199" t="str">
        <f>IF(Table1_1[[#This Row],[Age]]&lt;=18,"Child",IF(Table1_1[[#This Row],[Age]]&lt;=59,"Adult",IF(Table1_1[[#This Row],[Age]]&gt;=60,"Senior")))</f>
        <v>Adult</v>
      </c>
    </row>
    <row r="200" spans="1:17" x14ac:dyDescent="0.25">
      <c r="A200" t="s">
        <v>68</v>
      </c>
      <c r="B200" t="s">
        <v>359</v>
      </c>
      <c r="C200" t="s">
        <v>56</v>
      </c>
      <c r="D200">
        <v>60</v>
      </c>
      <c r="E200" t="s">
        <v>35</v>
      </c>
      <c r="F200" t="s">
        <v>66</v>
      </c>
      <c r="G200" t="s">
        <v>360</v>
      </c>
      <c r="H200" s="2">
        <v>46090</v>
      </c>
      <c r="I200" s="2">
        <v>46091</v>
      </c>
      <c r="J200" t="s">
        <v>362</v>
      </c>
      <c r="K200" t="s">
        <v>37</v>
      </c>
      <c r="L200">
        <v>3801</v>
      </c>
      <c r="M200" t="s">
        <v>354</v>
      </c>
      <c r="N200" t="s">
        <v>44</v>
      </c>
      <c r="O200" t="str">
        <f>IF(AND(Table1_1[[#This Row],[Age]]&gt;=60,Table1_1[[#This Row],[Insurance Status]]="Insured"),"senior Eligible","Not Eligible")</f>
        <v>Not Eligible</v>
      </c>
      <c r="P200" t="str">
        <f>IF(OR(Table1_1[[#This Row],[Treatment Cost]]&gt;=20000,Table1_1[[#This Row],[Room Type]]="ICU"),"High Cost","Normal Cost")</f>
        <v>Normal Cost</v>
      </c>
      <c r="Q200" t="str">
        <f>IF(Table1_1[[#This Row],[Age]]&lt;=18,"Child",IF(Table1_1[[#This Row],[Age]]&lt;=59,"Adult",IF(Table1_1[[#This Row],[Age]]&gt;=60,"Senior")))</f>
        <v>Senior</v>
      </c>
    </row>
    <row r="201" spans="1:17" x14ac:dyDescent="0.25">
      <c r="A201" t="s">
        <v>106</v>
      </c>
      <c r="B201" t="s">
        <v>364</v>
      </c>
      <c r="C201" t="s">
        <v>41</v>
      </c>
      <c r="D201">
        <v>18</v>
      </c>
      <c r="E201" t="s">
        <v>47</v>
      </c>
      <c r="F201" t="s">
        <v>66</v>
      </c>
      <c r="G201" t="s">
        <v>54</v>
      </c>
      <c r="H201" s="2">
        <v>46123</v>
      </c>
      <c r="I201" s="2">
        <v>46133</v>
      </c>
      <c r="J201" t="s">
        <v>362</v>
      </c>
      <c r="K201" t="s">
        <v>21</v>
      </c>
      <c r="L201">
        <v>3759</v>
      </c>
      <c r="M201" t="s">
        <v>358</v>
      </c>
      <c r="N201" t="s">
        <v>23</v>
      </c>
      <c r="O201" t="str">
        <f>IF(AND(Table1_1[[#This Row],[Age]]&gt;=60,Table1_1[[#This Row],[Insurance Status]]="Insured"),"senior Eligible","Not Eligible")</f>
        <v>Not Eligible</v>
      </c>
      <c r="P201" t="str">
        <f>IF(OR(Table1_1[[#This Row],[Treatment Cost]]&gt;=20000,Table1_1[[#This Row],[Room Type]]="ICU"),"High Cost","Normal Cost")</f>
        <v>Normal Cost</v>
      </c>
      <c r="Q201" t="str">
        <f>IF(Table1_1[[#This Row],[Age]]&lt;=18,"Child",IF(Table1_1[[#This Row],[Age]]&lt;=59,"Adult",IF(Table1_1[[#This Row],[Age]]&gt;=60,"Senior")))</f>
        <v>Child</v>
      </c>
    </row>
    <row r="202" spans="1:17" x14ac:dyDescent="0.25">
      <c r="A202" t="s">
        <v>146</v>
      </c>
      <c r="B202" t="s">
        <v>351</v>
      </c>
      <c r="C202" t="s">
        <v>56</v>
      </c>
      <c r="D202">
        <v>71</v>
      </c>
      <c r="E202" t="s">
        <v>47</v>
      </c>
      <c r="F202" t="s">
        <v>66</v>
      </c>
      <c r="G202" t="s">
        <v>54</v>
      </c>
      <c r="H202" s="2">
        <v>46023</v>
      </c>
      <c r="I202" s="2">
        <v>46031</v>
      </c>
      <c r="J202" t="s">
        <v>357</v>
      </c>
      <c r="K202" t="s">
        <v>37</v>
      </c>
      <c r="L202">
        <v>3441</v>
      </c>
      <c r="M202" t="s">
        <v>354</v>
      </c>
      <c r="N202" t="s">
        <v>23</v>
      </c>
      <c r="O202" t="str">
        <f>IF(AND(Table1_1[[#This Row],[Age]]&gt;=60,Table1_1[[#This Row],[Insurance Status]]="Insured"),"senior Eligible","Not Eligible")</f>
        <v>Not Eligible</v>
      </c>
      <c r="P202" t="str">
        <f>IF(OR(Table1_1[[#This Row],[Treatment Cost]]&gt;=20000,Table1_1[[#This Row],[Room Type]]="ICU"),"High Cost","Normal Cost")</f>
        <v>Normal Cost</v>
      </c>
      <c r="Q202" t="str">
        <f>IF(Table1_1[[#This Row],[Age]]&lt;=18,"Child",IF(Table1_1[[#This Row],[Age]]&lt;=59,"Adult",IF(Table1_1[[#This Row],[Age]]&gt;=60,"Senior")))</f>
        <v>Senior</v>
      </c>
    </row>
    <row r="203" spans="1:17" x14ac:dyDescent="0.25">
      <c r="A203" t="s">
        <v>165</v>
      </c>
      <c r="B203" t="s">
        <v>359</v>
      </c>
      <c r="C203" t="s">
        <v>56</v>
      </c>
      <c r="D203">
        <v>38</v>
      </c>
      <c r="E203" t="s">
        <v>47</v>
      </c>
      <c r="F203" t="s">
        <v>66</v>
      </c>
      <c r="G203" t="s">
        <v>360</v>
      </c>
      <c r="H203" s="2">
        <v>46103</v>
      </c>
      <c r="I203" s="2">
        <v>46109</v>
      </c>
      <c r="J203" t="s">
        <v>357</v>
      </c>
      <c r="K203" t="s">
        <v>48</v>
      </c>
      <c r="L203">
        <v>3125</v>
      </c>
      <c r="M203" t="s">
        <v>358</v>
      </c>
      <c r="N203" t="s">
        <v>44</v>
      </c>
      <c r="O203" t="str">
        <f>IF(AND(Table1_1[[#This Row],[Age]]&gt;=60,Table1_1[[#This Row],[Insurance Status]]="Insured"),"senior Eligible","Not Eligible")</f>
        <v>Not Eligible</v>
      </c>
      <c r="P203" t="str">
        <f>IF(OR(Table1_1[[#This Row],[Treatment Cost]]&gt;=20000,Table1_1[[#This Row],[Room Type]]="ICU"),"High Cost","Normal Cost")</f>
        <v>Normal Cost</v>
      </c>
      <c r="Q203" t="str">
        <f>IF(Table1_1[[#This Row],[Age]]&lt;=18,"Child",IF(Table1_1[[#This Row],[Age]]&lt;=59,"Adult",IF(Table1_1[[#This Row],[Age]]&gt;=60,"Senior")))</f>
        <v>Adult</v>
      </c>
    </row>
    <row r="204" spans="1:17" x14ac:dyDescent="0.25">
      <c r="A204" t="s">
        <v>150</v>
      </c>
      <c r="B204" t="s">
        <v>361</v>
      </c>
      <c r="C204" t="s">
        <v>41</v>
      </c>
      <c r="D204">
        <v>85</v>
      </c>
      <c r="E204" t="s">
        <v>35</v>
      </c>
      <c r="F204" t="s">
        <v>66</v>
      </c>
      <c r="G204" t="s">
        <v>360</v>
      </c>
      <c r="H204" s="2">
        <v>46137</v>
      </c>
      <c r="I204" s="2">
        <v>46143</v>
      </c>
      <c r="J204" t="s">
        <v>357</v>
      </c>
      <c r="K204" t="s">
        <v>48</v>
      </c>
      <c r="L204">
        <v>2269</v>
      </c>
      <c r="M204" t="s">
        <v>358</v>
      </c>
      <c r="N204" t="s">
        <v>44</v>
      </c>
      <c r="O204" t="str">
        <f>IF(AND(Table1_1[[#This Row],[Age]]&gt;=60,Table1_1[[#This Row],[Insurance Status]]="Insured"),"senior Eligible","Not Eligible")</f>
        <v>senior Eligible</v>
      </c>
      <c r="P204" t="str">
        <f>IF(OR(Table1_1[[#This Row],[Treatment Cost]]&gt;=20000,Table1_1[[#This Row],[Room Type]]="ICU"),"High Cost","Normal Cost")</f>
        <v>Normal Cost</v>
      </c>
      <c r="Q204" t="str">
        <f>IF(Table1_1[[#This Row],[Age]]&lt;=18,"Child",IF(Table1_1[[#This Row],[Age]]&lt;=59,"Adult",IF(Table1_1[[#This Row],[Age]]&gt;=60,"Senior")))</f>
        <v>Senior</v>
      </c>
    </row>
    <row r="205" spans="1:17" x14ac:dyDescent="0.25">
      <c r="A205" t="s">
        <v>93</v>
      </c>
      <c r="B205" t="s">
        <v>363</v>
      </c>
      <c r="C205" t="s">
        <v>56</v>
      </c>
      <c r="D205">
        <v>55</v>
      </c>
      <c r="E205" t="s">
        <v>17</v>
      </c>
      <c r="F205" t="s">
        <v>36</v>
      </c>
      <c r="G205" t="s">
        <v>356</v>
      </c>
      <c r="H205" s="2">
        <v>46039</v>
      </c>
      <c r="I205" s="2">
        <v>46040</v>
      </c>
      <c r="J205" t="s">
        <v>357</v>
      </c>
      <c r="K205" t="s">
        <v>37</v>
      </c>
      <c r="L205">
        <v>49958</v>
      </c>
      <c r="M205" t="s">
        <v>354</v>
      </c>
      <c r="N205" t="s">
        <v>23</v>
      </c>
      <c r="O205" t="str">
        <f>IF(AND(Table1_1[[#This Row],[Age]]&gt;=60,Table1_1[[#This Row],[Insurance Status]]="Insured"),"senior Eligible","Not Eligible")</f>
        <v>Not Eligible</v>
      </c>
      <c r="P205" t="str">
        <f>IF(OR(Table1_1[[#This Row],[Treatment Cost]]&gt;=20000,Table1_1[[#This Row],[Room Type]]="ICU"),"High Cost","Normal Cost")</f>
        <v>High Cost</v>
      </c>
      <c r="Q205" t="str">
        <f>IF(Table1_1[[#This Row],[Age]]&lt;=18,"Child",IF(Table1_1[[#This Row],[Age]]&lt;=59,"Adult",IF(Table1_1[[#This Row],[Age]]&gt;=60,"Senior")))</f>
        <v>Adult</v>
      </c>
    </row>
    <row r="206" spans="1:17" x14ac:dyDescent="0.25">
      <c r="A206" t="s">
        <v>143</v>
      </c>
      <c r="B206" t="s">
        <v>355</v>
      </c>
      <c r="C206" t="s">
        <v>41</v>
      </c>
      <c r="D206">
        <v>18</v>
      </c>
      <c r="E206" t="s">
        <v>47</v>
      </c>
      <c r="F206" t="s">
        <v>36</v>
      </c>
      <c r="G206" t="s">
        <v>352</v>
      </c>
      <c r="H206" s="2">
        <v>46065</v>
      </c>
      <c r="I206" s="2">
        <v>46067</v>
      </c>
      <c r="J206" t="s">
        <v>357</v>
      </c>
      <c r="K206" t="s">
        <v>48</v>
      </c>
      <c r="L206">
        <v>48265</v>
      </c>
      <c r="M206" t="s">
        <v>354</v>
      </c>
      <c r="N206" t="s">
        <v>44</v>
      </c>
      <c r="O206" t="str">
        <f>IF(AND(Table1_1[[#This Row],[Age]]&gt;=60,Table1_1[[#This Row],[Insurance Status]]="Insured"),"senior Eligible","Not Eligible")</f>
        <v>Not Eligible</v>
      </c>
      <c r="P206" t="str">
        <f>IF(OR(Table1_1[[#This Row],[Treatment Cost]]&gt;=20000,Table1_1[[#This Row],[Room Type]]="ICU"),"High Cost","Normal Cost")</f>
        <v>High Cost</v>
      </c>
      <c r="Q206" t="str">
        <f>IF(Table1_1[[#This Row],[Age]]&lt;=18,"Child",IF(Table1_1[[#This Row],[Age]]&lt;=59,"Adult",IF(Table1_1[[#This Row],[Age]]&gt;=60,"Senior")))</f>
        <v>Child</v>
      </c>
    </row>
    <row r="207" spans="1:17" x14ac:dyDescent="0.25">
      <c r="A207" t="s">
        <v>265</v>
      </c>
      <c r="B207" t="s">
        <v>355</v>
      </c>
      <c r="C207" t="s">
        <v>41</v>
      </c>
      <c r="D207">
        <v>67</v>
      </c>
      <c r="E207" t="s">
        <v>47</v>
      </c>
      <c r="F207" t="s">
        <v>36</v>
      </c>
      <c r="G207" t="s">
        <v>360</v>
      </c>
      <c r="H207" s="2">
        <v>46090</v>
      </c>
      <c r="I207" s="2">
        <v>46099</v>
      </c>
      <c r="J207" t="s">
        <v>353</v>
      </c>
      <c r="K207" t="s">
        <v>21</v>
      </c>
      <c r="L207">
        <v>48265</v>
      </c>
      <c r="M207" t="s">
        <v>354</v>
      </c>
      <c r="N207" t="s">
        <v>44</v>
      </c>
      <c r="O207" t="str">
        <f>IF(AND(Table1_1[[#This Row],[Age]]&gt;=60,Table1_1[[#This Row],[Insurance Status]]="Insured"),"senior Eligible","Not Eligible")</f>
        <v>Not Eligible</v>
      </c>
      <c r="P207" t="str">
        <f>IF(OR(Table1_1[[#This Row],[Treatment Cost]]&gt;=20000,Table1_1[[#This Row],[Room Type]]="ICU"),"High Cost","Normal Cost")</f>
        <v>High Cost</v>
      </c>
      <c r="Q207" t="str">
        <f>IF(Table1_1[[#This Row],[Age]]&lt;=18,"Child",IF(Table1_1[[#This Row],[Age]]&lt;=59,"Adult",IF(Table1_1[[#This Row],[Age]]&gt;=60,"Senior")))</f>
        <v>Senior</v>
      </c>
    </row>
    <row r="208" spans="1:17" x14ac:dyDescent="0.25">
      <c r="A208" t="s">
        <v>176</v>
      </c>
      <c r="B208" t="s">
        <v>359</v>
      </c>
      <c r="C208" t="s">
        <v>56</v>
      </c>
      <c r="D208">
        <v>67</v>
      </c>
      <c r="E208" t="s">
        <v>47</v>
      </c>
      <c r="F208" t="s">
        <v>36</v>
      </c>
      <c r="G208" t="s">
        <v>356</v>
      </c>
      <c r="H208" s="2">
        <v>46134</v>
      </c>
      <c r="I208" s="2">
        <v>46143</v>
      </c>
      <c r="J208" t="s">
        <v>357</v>
      </c>
      <c r="K208" t="s">
        <v>37</v>
      </c>
      <c r="L208">
        <v>47260</v>
      </c>
      <c r="M208" t="s">
        <v>358</v>
      </c>
      <c r="N208" t="s">
        <v>39</v>
      </c>
      <c r="O208" t="str">
        <f>IF(AND(Table1_1[[#This Row],[Age]]&gt;=60,Table1_1[[#This Row],[Insurance Status]]="Insured"),"senior Eligible","Not Eligible")</f>
        <v>senior Eligible</v>
      </c>
      <c r="P208" t="str">
        <f>IF(OR(Table1_1[[#This Row],[Treatment Cost]]&gt;=20000,Table1_1[[#This Row],[Room Type]]="ICU"),"High Cost","Normal Cost")</f>
        <v>High Cost</v>
      </c>
      <c r="Q208" t="str">
        <f>IF(Table1_1[[#This Row],[Age]]&lt;=18,"Child",IF(Table1_1[[#This Row],[Age]]&lt;=59,"Adult",IF(Table1_1[[#This Row],[Age]]&gt;=60,"Senior")))</f>
        <v>Senior</v>
      </c>
    </row>
    <row r="209" spans="1:17" x14ac:dyDescent="0.25">
      <c r="A209" t="s">
        <v>348</v>
      </c>
      <c r="B209" t="s">
        <v>363</v>
      </c>
      <c r="C209" t="s">
        <v>41</v>
      </c>
      <c r="D209">
        <v>52</v>
      </c>
      <c r="E209" t="s">
        <v>17</v>
      </c>
      <c r="F209" t="s">
        <v>36</v>
      </c>
      <c r="G209" t="s">
        <v>352</v>
      </c>
      <c r="H209" s="2">
        <v>46174</v>
      </c>
      <c r="I209" s="2">
        <v>46184</v>
      </c>
      <c r="J209" t="s">
        <v>362</v>
      </c>
      <c r="K209" t="s">
        <v>37</v>
      </c>
      <c r="L209">
        <v>47213</v>
      </c>
      <c r="M209" t="s">
        <v>358</v>
      </c>
      <c r="N209" t="s">
        <v>39</v>
      </c>
      <c r="O209" t="str">
        <f>IF(AND(Table1_1[[#This Row],[Age]]&gt;=60,Table1_1[[#This Row],[Insurance Status]]="Insured"),"senior Eligible","Not Eligible")</f>
        <v>Not Eligible</v>
      </c>
      <c r="P209" t="str">
        <f>IF(OR(Table1_1[[#This Row],[Treatment Cost]]&gt;=20000,Table1_1[[#This Row],[Room Type]]="ICU"),"High Cost","Normal Cost")</f>
        <v>High Cost</v>
      </c>
      <c r="Q209" t="str">
        <f>IF(Table1_1[[#This Row],[Age]]&lt;=18,"Child",IF(Table1_1[[#This Row],[Age]]&lt;=59,"Adult",IF(Table1_1[[#This Row],[Age]]&gt;=60,"Senior")))</f>
        <v>Adult</v>
      </c>
    </row>
    <row r="210" spans="1:17" x14ac:dyDescent="0.25">
      <c r="A210" t="s">
        <v>260</v>
      </c>
      <c r="B210" t="s">
        <v>351</v>
      </c>
      <c r="C210" t="s">
        <v>56</v>
      </c>
      <c r="D210">
        <v>50</v>
      </c>
      <c r="E210" t="s">
        <v>27</v>
      </c>
      <c r="F210" t="s">
        <v>36</v>
      </c>
      <c r="G210" t="s">
        <v>54</v>
      </c>
      <c r="H210" s="2">
        <v>46100</v>
      </c>
      <c r="I210" s="2">
        <v>46103</v>
      </c>
      <c r="J210" t="s">
        <v>357</v>
      </c>
      <c r="K210" t="s">
        <v>48</v>
      </c>
      <c r="L210">
        <v>47183</v>
      </c>
      <c r="M210" t="s">
        <v>358</v>
      </c>
      <c r="N210" t="s">
        <v>23</v>
      </c>
      <c r="O210" t="str">
        <f>IF(AND(Table1_1[[#This Row],[Age]]&gt;=60,Table1_1[[#This Row],[Insurance Status]]="Insured"),"senior Eligible","Not Eligible")</f>
        <v>Not Eligible</v>
      </c>
      <c r="P210" t="str">
        <f>IF(OR(Table1_1[[#This Row],[Treatment Cost]]&gt;=20000,Table1_1[[#This Row],[Room Type]]="ICU"),"High Cost","Normal Cost")</f>
        <v>High Cost</v>
      </c>
      <c r="Q210" t="str">
        <f>IF(Table1_1[[#This Row],[Age]]&lt;=18,"Child",IF(Table1_1[[#This Row],[Age]]&lt;=59,"Adult",IF(Table1_1[[#This Row],[Age]]&gt;=60,"Senior")))</f>
        <v>Adult</v>
      </c>
    </row>
    <row r="211" spans="1:17" x14ac:dyDescent="0.25">
      <c r="A211" t="s">
        <v>184</v>
      </c>
      <c r="B211" t="s">
        <v>355</v>
      </c>
      <c r="C211" t="s">
        <v>56</v>
      </c>
      <c r="D211">
        <v>77</v>
      </c>
      <c r="E211" t="s">
        <v>17</v>
      </c>
      <c r="F211" t="s">
        <v>36</v>
      </c>
      <c r="G211" t="s">
        <v>352</v>
      </c>
      <c r="H211" s="2">
        <v>46037</v>
      </c>
      <c r="I211" s="2">
        <v>46043</v>
      </c>
      <c r="J211" t="s">
        <v>357</v>
      </c>
      <c r="K211" t="s">
        <v>21</v>
      </c>
      <c r="L211">
        <v>47110</v>
      </c>
      <c r="M211" t="s">
        <v>358</v>
      </c>
      <c r="N211" t="s">
        <v>44</v>
      </c>
      <c r="O211" t="str">
        <f>IF(AND(Table1_1[[#This Row],[Age]]&gt;=60,Table1_1[[#This Row],[Insurance Status]]="Insured"),"senior Eligible","Not Eligible")</f>
        <v>senior Eligible</v>
      </c>
      <c r="P211" t="str">
        <f>IF(OR(Table1_1[[#This Row],[Treatment Cost]]&gt;=20000,Table1_1[[#This Row],[Room Type]]="ICU"),"High Cost","Normal Cost")</f>
        <v>High Cost</v>
      </c>
      <c r="Q211" t="str">
        <f>IF(Table1_1[[#This Row],[Age]]&lt;=18,"Child",IF(Table1_1[[#This Row],[Age]]&lt;=59,"Adult",IF(Table1_1[[#This Row],[Age]]&gt;=60,"Senior")))</f>
        <v>Senior</v>
      </c>
    </row>
    <row r="212" spans="1:17" x14ac:dyDescent="0.25">
      <c r="A212" t="s">
        <v>158</v>
      </c>
      <c r="B212" t="s">
        <v>363</v>
      </c>
      <c r="C212" t="s">
        <v>41</v>
      </c>
      <c r="D212">
        <v>67</v>
      </c>
      <c r="E212" t="s">
        <v>17</v>
      </c>
      <c r="F212" t="s">
        <v>36</v>
      </c>
      <c r="G212" t="s">
        <v>54</v>
      </c>
      <c r="H212" s="2">
        <v>46151</v>
      </c>
      <c r="I212" s="2">
        <v>46155</v>
      </c>
      <c r="J212" t="s">
        <v>362</v>
      </c>
      <c r="K212" t="s">
        <v>21</v>
      </c>
      <c r="L212">
        <v>46819</v>
      </c>
      <c r="M212" t="s">
        <v>354</v>
      </c>
      <c r="N212" t="s">
        <v>44</v>
      </c>
      <c r="O212" t="str">
        <f>IF(AND(Table1_1[[#This Row],[Age]]&gt;=60,Table1_1[[#This Row],[Insurance Status]]="Insured"),"senior Eligible","Not Eligible")</f>
        <v>Not Eligible</v>
      </c>
      <c r="P212" t="str">
        <f>IF(OR(Table1_1[[#This Row],[Treatment Cost]]&gt;=20000,Table1_1[[#This Row],[Room Type]]="ICU"),"High Cost","Normal Cost")</f>
        <v>High Cost</v>
      </c>
      <c r="Q212" t="str">
        <f>IF(Table1_1[[#This Row],[Age]]&lt;=18,"Child",IF(Table1_1[[#This Row],[Age]]&lt;=59,"Adult",IF(Table1_1[[#This Row],[Age]]&gt;=60,"Senior")))</f>
        <v>Senior</v>
      </c>
    </row>
    <row r="213" spans="1:17" x14ac:dyDescent="0.25">
      <c r="A213" t="s">
        <v>308</v>
      </c>
      <c r="B213" t="s">
        <v>359</v>
      </c>
      <c r="C213" t="s">
        <v>56</v>
      </c>
      <c r="D213">
        <v>67</v>
      </c>
      <c r="E213" t="s">
        <v>17</v>
      </c>
      <c r="F213" t="s">
        <v>36</v>
      </c>
      <c r="G213" t="s">
        <v>54</v>
      </c>
      <c r="H213" s="2">
        <v>46079</v>
      </c>
      <c r="I213" s="2">
        <v>46085</v>
      </c>
      <c r="J213" t="s">
        <v>362</v>
      </c>
      <c r="K213" t="s">
        <v>48</v>
      </c>
      <c r="L213">
        <v>45897</v>
      </c>
      <c r="M213" t="s">
        <v>354</v>
      </c>
      <c r="N213" t="s">
        <v>44</v>
      </c>
      <c r="O213" t="str">
        <f>IF(AND(Table1_1[[#This Row],[Age]]&gt;=60,Table1_1[[#This Row],[Insurance Status]]="Insured"),"senior Eligible","Not Eligible")</f>
        <v>Not Eligible</v>
      </c>
      <c r="P213" t="str">
        <f>IF(OR(Table1_1[[#This Row],[Treatment Cost]]&gt;=20000,Table1_1[[#This Row],[Room Type]]="ICU"),"High Cost","Normal Cost")</f>
        <v>High Cost</v>
      </c>
      <c r="Q213" t="str">
        <f>IF(Table1_1[[#This Row],[Age]]&lt;=18,"Child",IF(Table1_1[[#This Row],[Age]]&lt;=59,"Adult",IF(Table1_1[[#This Row],[Age]]&gt;=60,"Senior")))</f>
        <v>Senior</v>
      </c>
    </row>
    <row r="214" spans="1:17" x14ac:dyDescent="0.25">
      <c r="A214" t="s">
        <v>269</v>
      </c>
      <c r="B214" t="s">
        <v>364</v>
      </c>
      <c r="C214" t="s">
        <v>56</v>
      </c>
      <c r="D214">
        <v>26</v>
      </c>
      <c r="E214" t="s">
        <v>47</v>
      </c>
      <c r="F214" t="s">
        <v>36</v>
      </c>
      <c r="G214" t="s">
        <v>360</v>
      </c>
      <c r="H214" s="2">
        <v>46038</v>
      </c>
      <c r="I214" s="2">
        <v>46048</v>
      </c>
      <c r="J214" t="s">
        <v>357</v>
      </c>
      <c r="K214" t="s">
        <v>31</v>
      </c>
      <c r="L214">
        <v>45534</v>
      </c>
      <c r="M214" t="s">
        <v>358</v>
      </c>
      <c r="N214" t="s">
        <v>23</v>
      </c>
      <c r="O214" t="str">
        <f>IF(AND(Table1_1[[#This Row],[Age]]&gt;=60,Table1_1[[#This Row],[Insurance Status]]="Insured"),"senior Eligible","Not Eligible")</f>
        <v>Not Eligible</v>
      </c>
      <c r="P214" t="str">
        <f>IF(OR(Table1_1[[#This Row],[Treatment Cost]]&gt;=20000,Table1_1[[#This Row],[Room Type]]="ICU"),"High Cost","Normal Cost")</f>
        <v>High Cost</v>
      </c>
      <c r="Q214" t="str">
        <f>IF(Table1_1[[#This Row],[Age]]&lt;=18,"Child",IF(Table1_1[[#This Row],[Age]]&lt;=59,"Adult",IF(Table1_1[[#This Row],[Age]]&gt;=60,"Senior")))</f>
        <v>Adult</v>
      </c>
    </row>
    <row r="215" spans="1:17" x14ac:dyDescent="0.25">
      <c r="A215" t="s">
        <v>133</v>
      </c>
      <c r="B215" t="s">
        <v>351</v>
      </c>
      <c r="C215" t="s">
        <v>41</v>
      </c>
      <c r="D215">
        <v>46</v>
      </c>
      <c r="E215" t="s">
        <v>17</v>
      </c>
      <c r="F215" t="s">
        <v>36</v>
      </c>
      <c r="G215" t="s">
        <v>360</v>
      </c>
      <c r="H215" s="2">
        <v>46143</v>
      </c>
      <c r="I215" s="2">
        <v>46150</v>
      </c>
      <c r="J215" t="s">
        <v>362</v>
      </c>
      <c r="K215" t="s">
        <v>37</v>
      </c>
      <c r="L215">
        <v>44608</v>
      </c>
      <c r="M215" t="s">
        <v>358</v>
      </c>
      <c r="N215" t="s">
        <v>44</v>
      </c>
      <c r="O215" t="str">
        <f>IF(AND(Table1_1[[#This Row],[Age]]&gt;=60,Table1_1[[#This Row],[Insurance Status]]="Insured"),"senior Eligible","Not Eligible")</f>
        <v>Not Eligible</v>
      </c>
      <c r="P215" t="str">
        <f>IF(OR(Table1_1[[#This Row],[Treatment Cost]]&gt;=20000,Table1_1[[#This Row],[Room Type]]="ICU"),"High Cost","Normal Cost")</f>
        <v>High Cost</v>
      </c>
      <c r="Q215" t="str">
        <f>IF(Table1_1[[#This Row],[Age]]&lt;=18,"Child",IF(Table1_1[[#This Row],[Age]]&lt;=59,"Adult",IF(Table1_1[[#This Row],[Age]]&gt;=60,"Senior")))</f>
        <v>Adult</v>
      </c>
    </row>
    <row r="216" spans="1:17" x14ac:dyDescent="0.25">
      <c r="A216" t="s">
        <v>156</v>
      </c>
      <c r="B216" t="s">
        <v>351</v>
      </c>
      <c r="C216" t="s">
        <v>56</v>
      </c>
      <c r="D216">
        <v>52</v>
      </c>
      <c r="E216" t="s">
        <v>35</v>
      </c>
      <c r="F216" t="s">
        <v>36</v>
      </c>
      <c r="G216" t="s">
        <v>360</v>
      </c>
      <c r="H216" s="2">
        <v>46090</v>
      </c>
      <c r="I216" s="2">
        <v>46095</v>
      </c>
      <c r="J216" t="s">
        <v>357</v>
      </c>
      <c r="K216" t="s">
        <v>48</v>
      </c>
      <c r="L216">
        <v>44034</v>
      </c>
      <c r="M216" t="s">
        <v>358</v>
      </c>
      <c r="N216" t="s">
        <v>39</v>
      </c>
      <c r="O216" t="str">
        <f>IF(AND(Table1_1[[#This Row],[Age]]&gt;=60,Table1_1[[#This Row],[Insurance Status]]="Insured"),"senior Eligible","Not Eligible")</f>
        <v>Not Eligible</v>
      </c>
      <c r="P216" t="str">
        <f>IF(OR(Table1_1[[#This Row],[Treatment Cost]]&gt;=20000,Table1_1[[#This Row],[Room Type]]="ICU"),"High Cost","Normal Cost")</f>
        <v>High Cost</v>
      </c>
      <c r="Q216" t="str">
        <f>IF(Table1_1[[#This Row],[Age]]&lt;=18,"Child",IF(Table1_1[[#This Row],[Age]]&lt;=59,"Adult",IF(Table1_1[[#This Row],[Age]]&gt;=60,"Senior")))</f>
        <v>Adult</v>
      </c>
    </row>
    <row r="217" spans="1:17" x14ac:dyDescent="0.25">
      <c r="A217" t="s">
        <v>278</v>
      </c>
      <c r="B217" t="s">
        <v>363</v>
      </c>
      <c r="C217" t="s">
        <v>56</v>
      </c>
      <c r="D217">
        <v>83</v>
      </c>
      <c r="E217" t="s">
        <v>35</v>
      </c>
      <c r="F217" t="s">
        <v>36</v>
      </c>
      <c r="G217" t="s">
        <v>360</v>
      </c>
      <c r="H217" s="2">
        <v>46044</v>
      </c>
      <c r="I217" s="2">
        <v>46050</v>
      </c>
      <c r="J217" t="s">
        <v>357</v>
      </c>
      <c r="K217" t="s">
        <v>31</v>
      </c>
      <c r="L217">
        <v>43827</v>
      </c>
      <c r="M217" t="s">
        <v>358</v>
      </c>
      <c r="N217" t="s">
        <v>23</v>
      </c>
      <c r="O217" t="str">
        <f>IF(AND(Table1_1[[#This Row],[Age]]&gt;=60,Table1_1[[#This Row],[Insurance Status]]="Insured"),"senior Eligible","Not Eligible")</f>
        <v>senior Eligible</v>
      </c>
      <c r="P217" t="str">
        <f>IF(OR(Table1_1[[#This Row],[Treatment Cost]]&gt;=20000,Table1_1[[#This Row],[Room Type]]="ICU"),"High Cost","Normal Cost")</f>
        <v>High Cost</v>
      </c>
      <c r="Q217" t="str">
        <f>IF(Table1_1[[#This Row],[Age]]&lt;=18,"Child",IF(Table1_1[[#This Row],[Age]]&lt;=59,"Adult",IF(Table1_1[[#This Row],[Age]]&gt;=60,"Senior")))</f>
        <v>Senior</v>
      </c>
    </row>
    <row r="218" spans="1:17" x14ac:dyDescent="0.25">
      <c r="A218" t="s">
        <v>272</v>
      </c>
      <c r="B218" t="s">
        <v>363</v>
      </c>
      <c r="C218" t="s">
        <v>56</v>
      </c>
      <c r="D218">
        <v>35</v>
      </c>
      <c r="E218" t="s">
        <v>27</v>
      </c>
      <c r="F218" t="s">
        <v>36</v>
      </c>
      <c r="G218" t="s">
        <v>360</v>
      </c>
      <c r="H218" s="2">
        <v>46115</v>
      </c>
      <c r="I218" s="2">
        <v>46123</v>
      </c>
      <c r="J218" t="s">
        <v>357</v>
      </c>
      <c r="K218" t="s">
        <v>21</v>
      </c>
      <c r="L218">
        <v>43325</v>
      </c>
      <c r="M218" t="s">
        <v>354</v>
      </c>
      <c r="N218" t="s">
        <v>23</v>
      </c>
      <c r="O218" t="str">
        <f>IF(AND(Table1_1[[#This Row],[Age]]&gt;=60,Table1_1[[#This Row],[Insurance Status]]="Insured"),"senior Eligible","Not Eligible")</f>
        <v>Not Eligible</v>
      </c>
      <c r="P218" t="str">
        <f>IF(OR(Table1_1[[#This Row],[Treatment Cost]]&gt;=20000,Table1_1[[#This Row],[Room Type]]="ICU"),"High Cost","Normal Cost")</f>
        <v>High Cost</v>
      </c>
      <c r="Q218" t="str">
        <f>IF(Table1_1[[#This Row],[Age]]&lt;=18,"Child",IF(Table1_1[[#This Row],[Age]]&lt;=59,"Adult",IF(Table1_1[[#This Row],[Age]]&gt;=60,"Senior")))</f>
        <v>Adult</v>
      </c>
    </row>
    <row r="219" spans="1:17" x14ac:dyDescent="0.25">
      <c r="A219" t="s">
        <v>319</v>
      </c>
      <c r="B219" t="s">
        <v>351</v>
      </c>
      <c r="C219" t="s">
        <v>56</v>
      </c>
      <c r="D219">
        <v>34</v>
      </c>
      <c r="E219" t="s">
        <v>17</v>
      </c>
      <c r="F219" t="s">
        <v>36</v>
      </c>
      <c r="G219" t="s">
        <v>54</v>
      </c>
      <c r="H219" s="2">
        <v>46160</v>
      </c>
      <c r="I219" s="2">
        <v>46167</v>
      </c>
      <c r="J219" t="s">
        <v>357</v>
      </c>
      <c r="K219" t="s">
        <v>21</v>
      </c>
      <c r="L219">
        <v>43065</v>
      </c>
      <c r="M219" t="s">
        <v>358</v>
      </c>
      <c r="N219" t="s">
        <v>23</v>
      </c>
      <c r="O219" t="str">
        <f>IF(AND(Table1_1[[#This Row],[Age]]&gt;=60,Table1_1[[#This Row],[Insurance Status]]="Insured"),"senior Eligible","Not Eligible")</f>
        <v>Not Eligible</v>
      </c>
      <c r="P219" t="str">
        <f>IF(OR(Table1_1[[#This Row],[Treatment Cost]]&gt;=20000,Table1_1[[#This Row],[Room Type]]="ICU"),"High Cost","Normal Cost")</f>
        <v>High Cost</v>
      </c>
      <c r="Q219" t="str">
        <f>IF(Table1_1[[#This Row],[Age]]&lt;=18,"Child",IF(Table1_1[[#This Row],[Age]]&lt;=59,"Adult",IF(Table1_1[[#This Row],[Age]]&gt;=60,"Senior")))</f>
        <v>Adult</v>
      </c>
    </row>
    <row r="220" spans="1:17" x14ac:dyDescent="0.25">
      <c r="A220" t="s">
        <v>263</v>
      </c>
      <c r="B220" t="s">
        <v>364</v>
      </c>
      <c r="C220" t="s">
        <v>41</v>
      </c>
      <c r="D220">
        <v>73</v>
      </c>
      <c r="E220" t="s">
        <v>47</v>
      </c>
      <c r="F220" t="s">
        <v>36</v>
      </c>
      <c r="G220" t="s">
        <v>54</v>
      </c>
      <c r="H220" s="2">
        <v>46127</v>
      </c>
      <c r="I220" s="2">
        <v>46136</v>
      </c>
      <c r="J220" t="s">
        <v>353</v>
      </c>
      <c r="K220" t="s">
        <v>31</v>
      </c>
      <c r="L220">
        <v>42856</v>
      </c>
      <c r="M220" t="s">
        <v>358</v>
      </c>
      <c r="N220" t="s">
        <v>39</v>
      </c>
      <c r="O220" t="str">
        <f>IF(AND(Table1_1[[#This Row],[Age]]&gt;=60,Table1_1[[#This Row],[Insurance Status]]="Insured"),"senior Eligible","Not Eligible")</f>
        <v>senior Eligible</v>
      </c>
      <c r="P220" t="str">
        <f>IF(OR(Table1_1[[#This Row],[Treatment Cost]]&gt;=20000,Table1_1[[#This Row],[Room Type]]="ICU"),"High Cost","Normal Cost")</f>
        <v>High Cost</v>
      </c>
      <c r="Q220" t="str">
        <f>IF(Table1_1[[#This Row],[Age]]&lt;=18,"Child",IF(Table1_1[[#This Row],[Age]]&lt;=59,"Adult",IF(Table1_1[[#This Row],[Age]]&gt;=60,"Senior")))</f>
        <v>Senior</v>
      </c>
    </row>
    <row r="221" spans="1:17" x14ac:dyDescent="0.25">
      <c r="A221" t="s">
        <v>274</v>
      </c>
      <c r="B221" t="s">
        <v>361</v>
      </c>
      <c r="C221" t="s">
        <v>41</v>
      </c>
      <c r="D221">
        <v>69</v>
      </c>
      <c r="E221" t="s">
        <v>17</v>
      </c>
      <c r="F221" t="s">
        <v>36</v>
      </c>
      <c r="G221" t="s">
        <v>356</v>
      </c>
      <c r="H221" s="2">
        <v>46073</v>
      </c>
      <c r="I221" s="2">
        <v>46074</v>
      </c>
      <c r="J221" t="s">
        <v>362</v>
      </c>
      <c r="K221" t="s">
        <v>31</v>
      </c>
      <c r="L221">
        <v>42053</v>
      </c>
      <c r="M221" t="s">
        <v>358</v>
      </c>
      <c r="N221" t="s">
        <v>39</v>
      </c>
      <c r="O221" t="str">
        <f>IF(AND(Table1_1[[#This Row],[Age]]&gt;=60,Table1_1[[#This Row],[Insurance Status]]="Insured"),"senior Eligible","Not Eligible")</f>
        <v>senior Eligible</v>
      </c>
      <c r="P221" t="str">
        <f>IF(OR(Table1_1[[#This Row],[Treatment Cost]]&gt;=20000,Table1_1[[#This Row],[Room Type]]="ICU"),"High Cost","Normal Cost")</f>
        <v>High Cost</v>
      </c>
      <c r="Q221" t="str">
        <f>IF(Table1_1[[#This Row],[Age]]&lt;=18,"Child",IF(Table1_1[[#This Row],[Age]]&lt;=59,"Adult",IF(Table1_1[[#This Row],[Age]]&gt;=60,"Senior")))</f>
        <v>Senior</v>
      </c>
    </row>
    <row r="222" spans="1:17" x14ac:dyDescent="0.25">
      <c r="A222" t="s">
        <v>316</v>
      </c>
      <c r="B222" t="s">
        <v>361</v>
      </c>
      <c r="C222" t="s">
        <v>41</v>
      </c>
      <c r="D222">
        <v>69</v>
      </c>
      <c r="E222" t="s">
        <v>47</v>
      </c>
      <c r="F222" t="s">
        <v>36</v>
      </c>
      <c r="G222" t="s">
        <v>54</v>
      </c>
      <c r="H222" s="2">
        <v>46180</v>
      </c>
      <c r="I222" s="2">
        <v>46190</v>
      </c>
      <c r="J222" t="s">
        <v>362</v>
      </c>
      <c r="K222" t="s">
        <v>37</v>
      </c>
      <c r="L222">
        <v>41357</v>
      </c>
      <c r="M222" t="s">
        <v>358</v>
      </c>
      <c r="N222" t="s">
        <v>39</v>
      </c>
      <c r="O222" t="str">
        <f>IF(AND(Table1_1[[#This Row],[Age]]&gt;=60,Table1_1[[#This Row],[Insurance Status]]="Insured"),"senior Eligible","Not Eligible")</f>
        <v>senior Eligible</v>
      </c>
      <c r="P222" t="str">
        <f>IF(OR(Table1_1[[#This Row],[Treatment Cost]]&gt;=20000,Table1_1[[#This Row],[Room Type]]="ICU"),"High Cost","Normal Cost")</f>
        <v>High Cost</v>
      </c>
      <c r="Q222" t="str">
        <f>IF(Table1_1[[#This Row],[Age]]&lt;=18,"Child",IF(Table1_1[[#This Row],[Age]]&lt;=59,"Adult",IF(Table1_1[[#This Row],[Age]]&gt;=60,"Senior")))</f>
        <v>Senior</v>
      </c>
    </row>
    <row r="223" spans="1:17" x14ac:dyDescent="0.25">
      <c r="A223" t="s">
        <v>220</v>
      </c>
      <c r="B223" t="s">
        <v>355</v>
      </c>
      <c r="C223" t="s">
        <v>56</v>
      </c>
      <c r="D223">
        <v>43</v>
      </c>
      <c r="E223" t="s">
        <v>27</v>
      </c>
      <c r="F223" t="s">
        <v>36</v>
      </c>
      <c r="G223" t="s">
        <v>356</v>
      </c>
      <c r="H223" s="2">
        <v>46054</v>
      </c>
      <c r="I223" s="2">
        <v>46058</v>
      </c>
      <c r="J223" t="s">
        <v>357</v>
      </c>
      <c r="K223" t="s">
        <v>37</v>
      </c>
      <c r="L223">
        <v>41194</v>
      </c>
      <c r="M223" t="s">
        <v>354</v>
      </c>
      <c r="N223" t="s">
        <v>23</v>
      </c>
      <c r="O223" t="str">
        <f>IF(AND(Table1_1[[#This Row],[Age]]&gt;=60,Table1_1[[#This Row],[Insurance Status]]="Insured"),"senior Eligible","Not Eligible")</f>
        <v>Not Eligible</v>
      </c>
      <c r="P223" t="str">
        <f>IF(OR(Table1_1[[#This Row],[Treatment Cost]]&gt;=20000,Table1_1[[#This Row],[Room Type]]="ICU"),"High Cost","Normal Cost")</f>
        <v>High Cost</v>
      </c>
      <c r="Q223" t="str">
        <f>IF(Table1_1[[#This Row],[Age]]&lt;=18,"Child",IF(Table1_1[[#This Row],[Age]]&lt;=59,"Adult",IF(Table1_1[[#This Row],[Age]]&gt;=60,"Senior")))</f>
        <v>Adult</v>
      </c>
    </row>
    <row r="224" spans="1:17" x14ac:dyDescent="0.25">
      <c r="A224" t="s">
        <v>72</v>
      </c>
      <c r="B224" t="s">
        <v>364</v>
      </c>
      <c r="C224" t="s">
        <v>41</v>
      </c>
      <c r="D224">
        <v>39</v>
      </c>
      <c r="E224" t="s">
        <v>47</v>
      </c>
      <c r="F224" t="s">
        <v>36</v>
      </c>
      <c r="G224" t="s">
        <v>356</v>
      </c>
      <c r="H224" s="2">
        <v>46138</v>
      </c>
      <c r="I224" s="2">
        <v>46139</v>
      </c>
      <c r="J224" t="s">
        <v>353</v>
      </c>
      <c r="K224" t="s">
        <v>37</v>
      </c>
      <c r="L224">
        <v>40942</v>
      </c>
      <c r="M224" t="s">
        <v>358</v>
      </c>
      <c r="N224" t="s">
        <v>39</v>
      </c>
      <c r="O224" t="str">
        <f>IF(AND(Table1_1[[#This Row],[Age]]&gt;=60,Table1_1[[#This Row],[Insurance Status]]="Insured"),"senior Eligible","Not Eligible")</f>
        <v>Not Eligible</v>
      </c>
      <c r="P224" t="str">
        <f>IF(OR(Table1_1[[#This Row],[Treatment Cost]]&gt;=20000,Table1_1[[#This Row],[Room Type]]="ICU"),"High Cost","Normal Cost")</f>
        <v>High Cost</v>
      </c>
      <c r="Q224" t="str">
        <f>IF(Table1_1[[#This Row],[Age]]&lt;=18,"Child",IF(Table1_1[[#This Row],[Age]]&lt;=59,"Adult",IF(Table1_1[[#This Row],[Age]]&gt;=60,"Senior")))</f>
        <v>Adult</v>
      </c>
    </row>
    <row r="225" spans="1:17" x14ac:dyDescent="0.25">
      <c r="A225" t="s">
        <v>244</v>
      </c>
      <c r="B225" t="s">
        <v>363</v>
      </c>
      <c r="C225" t="s">
        <v>41</v>
      </c>
      <c r="D225">
        <v>84</v>
      </c>
      <c r="E225" t="s">
        <v>27</v>
      </c>
      <c r="F225" t="s">
        <v>36</v>
      </c>
      <c r="G225" t="s">
        <v>360</v>
      </c>
      <c r="H225" s="2">
        <v>46106</v>
      </c>
      <c r="I225" s="2">
        <v>46107</v>
      </c>
      <c r="J225" t="s">
        <v>362</v>
      </c>
      <c r="K225" t="s">
        <v>37</v>
      </c>
      <c r="L225">
        <v>40258</v>
      </c>
      <c r="M225" t="s">
        <v>354</v>
      </c>
      <c r="N225" t="s">
        <v>23</v>
      </c>
      <c r="O225" t="str">
        <f>IF(AND(Table1_1[[#This Row],[Age]]&gt;=60,Table1_1[[#This Row],[Insurance Status]]="Insured"),"senior Eligible","Not Eligible")</f>
        <v>Not Eligible</v>
      </c>
      <c r="P225" t="str">
        <f>IF(OR(Table1_1[[#This Row],[Treatment Cost]]&gt;=20000,Table1_1[[#This Row],[Room Type]]="ICU"),"High Cost","Normal Cost")</f>
        <v>High Cost</v>
      </c>
      <c r="Q225" t="str">
        <f>IF(Table1_1[[#This Row],[Age]]&lt;=18,"Child",IF(Table1_1[[#This Row],[Age]]&lt;=59,"Adult",IF(Table1_1[[#This Row],[Age]]&gt;=60,"Senior")))</f>
        <v>Senior</v>
      </c>
    </row>
    <row r="226" spans="1:17" x14ac:dyDescent="0.25">
      <c r="A226" t="s">
        <v>338</v>
      </c>
      <c r="B226" t="s">
        <v>364</v>
      </c>
      <c r="C226" t="s">
        <v>41</v>
      </c>
      <c r="D226">
        <v>72</v>
      </c>
      <c r="E226" t="s">
        <v>27</v>
      </c>
      <c r="F226" t="s">
        <v>36</v>
      </c>
      <c r="G226" t="s">
        <v>352</v>
      </c>
      <c r="H226" s="2">
        <v>46052</v>
      </c>
      <c r="I226" s="2">
        <v>46061</v>
      </c>
      <c r="J226" t="s">
        <v>357</v>
      </c>
      <c r="K226" t="s">
        <v>21</v>
      </c>
      <c r="L226">
        <v>39589</v>
      </c>
      <c r="M226" t="s">
        <v>358</v>
      </c>
      <c r="N226" t="s">
        <v>39</v>
      </c>
      <c r="O226" t="str">
        <f>IF(AND(Table1_1[[#This Row],[Age]]&gt;=60,Table1_1[[#This Row],[Insurance Status]]="Insured"),"senior Eligible","Not Eligible")</f>
        <v>senior Eligible</v>
      </c>
      <c r="P226" t="str">
        <f>IF(OR(Table1_1[[#This Row],[Treatment Cost]]&gt;=20000,Table1_1[[#This Row],[Room Type]]="ICU"),"High Cost","Normal Cost")</f>
        <v>High Cost</v>
      </c>
      <c r="Q226" t="str">
        <f>IF(Table1_1[[#This Row],[Age]]&lt;=18,"Child",IF(Table1_1[[#This Row],[Age]]&lt;=59,"Adult",IF(Table1_1[[#This Row],[Age]]&gt;=60,"Senior")))</f>
        <v>Senior</v>
      </c>
    </row>
    <row r="227" spans="1:17" x14ac:dyDescent="0.25">
      <c r="A227" t="s">
        <v>335</v>
      </c>
      <c r="B227" t="s">
        <v>359</v>
      </c>
      <c r="C227" t="s">
        <v>41</v>
      </c>
      <c r="D227">
        <v>38</v>
      </c>
      <c r="E227" t="s">
        <v>17</v>
      </c>
      <c r="F227" t="s">
        <v>36</v>
      </c>
      <c r="G227" t="s">
        <v>54</v>
      </c>
      <c r="H227" s="2">
        <v>46181</v>
      </c>
      <c r="I227" s="2">
        <v>46188</v>
      </c>
      <c r="J227" t="s">
        <v>357</v>
      </c>
      <c r="K227" t="s">
        <v>37</v>
      </c>
      <c r="L227">
        <v>39523</v>
      </c>
      <c r="M227" t="s">
        <v>358</v>
      </c>
      <c r="N227" t="s">
        <v>39</v>
      </c>
      <c r="O227" t="str">
        <f>IF(AND(Table1_1[[#This Row],[Age]]&gt;=60,Table1_1[[#This Row],[Insurance Status]]="Insured"),"senior Eligible","Not Eligible")</f>
        <v>Not Eligible</v>
      </c>
      <c r="P227" t="str">
        <f>IF(OR(Table1_1[[#This Row],[Treatment Cost]]&gt;=20000,Table1_1[[#This Row],[Room Type]]="ICU"),"High Cost","Normal Cost")</f>
        <v>High Cost</v>
      </c>
      <c r="Q227" t="str">
        <f>IF(Table1_1[[#This Row],[Age]]&lt;=18,"Child",IF(Table1_1[[#This Row],[Age]]&lt;=59,"Adult",IF(Table1_1[[#This Row],[Age]]&gt;=60,"Senior")))</f>
        <v>Adult</v>
      </c>
    </row>
    <row r="228" spans="1:17" x14ac:dyDescent="0.25">
      <c r="A228" t="s">
        <v>119</v>
      </c>
      <c r="B228" t="s">
        <v>359</v>
      </c>
      <c r="C228" t="s">
        <v>56</v>
      </c>
      <c r="D228">
        <v>43</v>
      </c>
      <c r="E228" t="s">
        <v>17</v>
      </c>
      <c r="F228" t="s">
        <v>36</v>
      </c>
      <c r="G228" t="s">
        <v>54</v>
      </c>
      <c r="H228" s="2">
        <v>46146</v>
      </c>
      <c r="I228" s="2">
        <v>46150</v>
      </c>
      <c r="J228" t="s">
        <v>357</v>
      </c>
      <c r="K228" t="s">
        <v>31</v>
      </c>
      <c r="L228">
        <v>38500</v>
      </c>
      <c r="M228" t="s">
        <v>354</v>
      </c>
      <c r="N228" t="s">
        <v>44</v>
      </c>
      <c r="O228" t="str">
        <f>IF(AND(Table1_1[[#This Row],[Age]]&gt;=60,Table1_1[[#This Row],[Insurance Status]]="Insured"),"senior Eligible","Not Eligible")</f>
        <v>Not Eligible</v>
      </c>
      <c r="P228" t="str">
        <f>IF(OR(Table1_1[[#This Row],[Treatment Cost]]&gt;=20000,Table1_1[[#This Row],[Room Type]]="ICU"),"High Cost","Normal Cost")</f>
        <v>High Cost</v>
      </c>
      <c r="Q228" t="str">
        <f>IF(Table1_1[[#This Row],[Age]]&lt;=18,"Child",IF(Table1_1[[#This Row],[Age]]&lt;=59,"Adult",IF(Table1_1[[#This Row],[Age]]&gt;=60,"Senior")))</f>
        <v>Adult</v>
      </c>
    </row>
    <row r="229" spans="1:17" x14ac:dyDescent="0.25">
      <c r="A229" t="s">
        <v>161</v>
      </c>
      <c r="B229" t="s">
        <v>359</v>
      </c>
      <c r="C229" t="s">
        <v>41</v>
      </c>
      <c r="D229">
        <v>26</v>
      </c>
      <c r="E229" t="s">
        <v>47</v>
      </c>
      <c r="F229" t="s">
        <v>36</v>
      </c>
      <c r="G229" t="s">
        <v>352</v>
      </c>
      <c r="H229" s="2">
        <v>46126</v>
      </c>
      <c r="I229" s="2">
        <v>46131</v>
      </c>
      <c r="J229" t="s">
        <v>357</v>
      </c>
      <c r="K229" t="s">
        <v>37</v>
      </c>
      <c r="L229">
        <v>37712</v>
      </c>
      <c r="M229" t="s">
        <v>354</v>
      </c>
      <c r="N229" t="s">
        <v>44</v>
      </c>
      <c r="O229" t="str">
        <f>IF(AND(Table1_1[[#This Row],[Age]]&gt;=60,Table1_1[[#This Row],[Insurance Status]]="Insured"),"senior Eligible","Not Eligible")</f>
        <v>Not Eligible</v>
      </c>
      <c r="P229" t="str">
        <f>IF(OR(Table1_1[[#This Row],[Treatment Cost]]&gt;=20000,Table1_1[[#This Row],[Room Type]]="ICU"),"High Cost","Normal Cost")</f>
        <v>High Cost</v>
      </c>
      <c r="Q229" t="str">
        <f>IF(Table1_1[[#This Row],[Age]]&lt;=18,"Child",IF(Table1_1[[#This Row],[Age]]&lt;=59,"Adult",IF(Table1_1[[#This Row],[Age]]&gt;=60,"Senior")))</f>
        <v>Adult</v>
      </c>
    </row>
    <row r="230" spans="1:17" x14ac:dyDescent="0.25">
      <c r="A230" t="s">
        <v>248</v>
      </c>
      <c r="B230" t="s">
        <v>351</v>
      </c>
      <c r="C230" t="s">
        <v>41</v>
      </c>
      <c r="D230">
        <v>35</v>
      </c>
      <c r="E230" t="s">
        <v>35</v>
      </c>
      <c r="F230" t="s">
        <v>36</v>
      </c>
      <c r="G230" t="s">
        <v>54</v>
      </c>
      <c r="H230" s="2">
        <v>46101</v>
      </c>
      <c r="I230" s="2">
        <v>46111</v>
      </c>
      <c r="J230" t="s">
        <v>362</v>
      </c>
      <c r="K230" t="s">
        <v>31</v>
      </c>
      <c r="L230">
        <v>36040</v>
      </c>
      <c r="M230" t="s">
        <v>354</v>
      </c>
      <c r="N230" t="s">
        <v>23</v>
      </c>
      <c r="O230" t="str">
        <f>IF(AND(Table1_1[[#This Row],[Age]]&gt;=60,Table1_1[[#This Row],[Insurance Status]]="Insured"),"senior Eligible","Not Eligible")</f>
        <v>Not Eligible</v>
      </c>
      <c r="P230" t="str">
        <f>IF(OR(Table1_1[[#This Row],[Treatment Cost]]&gt;=20000,Table1_1[[#This Row],[Room Type]]="ICU"),"High Cost","Normal Cost")</f>
        <v>High Cost</v>
      </c>
      <c r="Q230" t="str">
        <f>IF(Table1_1[[#This Row],[Age]]&lt;=18,"Child",IF(Table1_1[[#This Row],[Age]]&lt;=59,"Adult",IF(Table1_1[[#This Row],[Age]]&gt;=60,"Senior")))</f>
        <v>Adult</v>
      </c>
    </row>
    <row r="231" spans="1:17" x14ac:dyDescent="0.25">
      <c r="A231" t="s">
        <v>234</v>
      </c>
      <c r="B231" t="s">
        <v>363</v>
      </c>
      <c r="C231" t="s">
        <v>41</v>
      </c>
      <c r="D231">
        <v>24</v>
      </c>
      <c r="E231" t="s">
        <v>35</v>
      </c>
      <c r="F231" t="s">
        <v>36</v>
      </c>
      <c r="G231" t="s">
        <v>356</v>
      </c>
      <c r="H231" s="2">
        <v>46038</v>
      </c>
      <c r="I231" s="2">
        <v>46043</v>
      </c>
      <c r="J231" t="s">
        <v>362</v>
      </c>
      <c r="K231" t="s">
        <v>48</v>
      </c>
      <c r="L231">
        <v>35648</v>
      </c>
      <c r="M231" t="s">
        <v>354</v>
      </c>
      <c r="N231" t="s">
        <v>39</v>
      </c>
      <c r="O231" t="str">
        <f>IF(AND(Table1_1[[#This Row],[Age]]&gt;=60,Table1_1[[#This Row],[Insurance Status]]="Insured"),"senior Eligible","Not Eligible")</f>
        <v>Not Eligible</v>
      </c>
      <c r="P231" t="str">
        <f>IF(OR(Table1_1[[#This Row],[Treatment Cost]]&gt;=20000,Table1_1[[#This Row],[Room Type]]="ICU"),"High Cost","Normal Cost")</f>
        <v>High Cost</v>
      </c>
      <c r="Q231" t="str">
        <f>IF(Table1_1[[#This Row],[Age]]&lt;=18,"Child",IF(Table1_1[[#This Row],[Age]]&lt;=59,"Adult",IF(Table1_1[[#This Row],[Age]]&gt;=60,"Senior")))</f>
        <v>Adult</v>
      </c>
    </row>
    <row r="232" spans="1:17" x14ac:dyDescent="0.25">
      <c r="A232" t="s">
        <v>347</v>
      </c>
      <c r="B232" t="s">
        <v>364</v>
      </c>
      <c r="C232" t="s">
        <v>41</v>
      </c>
      <c r="D232">
        <v>28</v>
      </c>
      <c r="E232" t="s">
        <v>35</v>
      </c>
      <c r="F232" t="s">
        <v>36</v>
      </c>
      <c r="G232" t="s">
        <v>352</v>
      </c>
      <c r="H232" s="2">
        <v>46037</v>
      </c>
      <c r="I232" s="2">
        <v>46042</v>
      </c>
      <c r="J232" t="s">
        <v>357</v>
      </c>
      <c r="K232" t="s">
        <v>31</v>
      </c>
      <c r="L232">
        <v>34426</v>
      </c>
      <c r="M232" t="s">
        <v>354</v>
      </c>
      <c r="N232" t="s">
        <v>23</v>
      </c>
      <c r="O232" t="str">
        <f>IF(AND(Table1_1[[#This Row],[Age]]&gt;=60,Table1_1[[#This Row],[Insurance Status]]="Insured"),"senior Eligible","Not Eligible")</f>
        <v>Not Eligible</v>
      </c>
      <c r="P232" t="str">
        <f>IF(OR(Table1_1[[#This Row],[Treatment Cost]]&gt;=20000,Table1_1[[#This Row],[Room Type]]="ICU"),"High Cost","Normal Cost")</f>
        <v>High Cost</v>
      </c>
      <c r="Q232" t="str">
        <f>IF(Table1_1[[#This Row],[Age]]&lt;=18,"Child",IF(Table1_1[[#This Row],[Age]]&lt;=59,"Adult",IF(Table1_1[[#This Row],[Age]]&gt;=60,"Senior")))</f>
        <v>Adult</v>
      </c>
    </row>
    <row r="233" spans="1:17" x14ac:dyDescent="0.25">
      <c r="A233" t="s">
        <v>345</v>
      </c>
      <c r="B233" t="s">
        <v>361</v>
      </c>
      <c r="C233" t="s">
        <v>41</v>
      </c>
      <c r="D233">
        <v>39</v>
      </c>
      <c r="E233" t="s">
        <v>27</v>
      </c>
      <c r="F233" t="s">
        <v>36</v>
      </c>
      <c r="G233" t="s">
        <v>352</v>
      </c>
      <c r="H233" s="2">
        <v>46085</v>
      </c>
      <c r="I233" s="2">
        <v>46088</v>
      </c>
      <c r="J233" t="s">
        <v>362</v>
      </c>
      <c r="K233" t="s">
        <v>37</v>
      </c>
      <c r="L233">
        <v>33988</v>
      </c>
      <c r="M233" t="s">
        <v>354</v>
      </c>
      <c r="N233" t="s">
        <v>23</v>
      </c>
      <c r="O233" t="str">
        <f>IF(AND(Table1_1[[#This Row],[Age]]&gt;=60,Table1_1[[#This Row],[Insurance Status]]="Insured"),"senior Eligible","Not Eligible")</f>
        <v>Not Eligible</v>
      </c>
      <c r="P233" t="str">
        <f>IF(OR(Table1_1[[#This Row],[Treatment Cost]]&gt;=20000,Table1_1[[#This Row],[Room Type]]="ICU"),"High Cost","Normal Cost")</f>
        <v>High Cost</v>
      </c>
      <c r="Q233" t="str">
        <f>IF(Table1_1[[#This Row],[Age]]&lt;=18,"Child",IF(Table1_1[[#This Row],[Age]]&lt;=59,"Adult",IF(Table1_1[[#This Row],[Age]]&gt;=60,"Senior")))</f>
        <v>Adult</v>
      </c>
    </row>
    <row r="234" spans="1:17" x14ac:dyDescent="0.25">
      <c r="A234" t="s">
        <v>84</v>
      </c>
      <c r="B234" t="s">
        <v>359</v>
      </c>
      <c r="C234" t="s">
        <v>56</v>
      </c>
      <c r="D234">
        <v>84</v>
      </c>
      <c r="E234" t="s">
        <v>47</v>
      </c>
      <c r="F234" t="s">
        <v>36</v>
      </c>
      <c r="G234" t="s">
        <v>352</v>
      </c>
      <c r="H234" s="2">
        <v>46160</v>
      </c>
      <c r="I234" s="2">
        <v>46169</v>
      </c>
      <c r="J234" t="s">
        <v>353</v>
      </c>
      <c r="K234" t="s">
        <v>37</v>
      </c>
      <c r="L234">
        <v>33608</v>
      </c>
      <c r="M234" t="s">
        <v>358</v>
      </c>
      <c r="N234" t="s">
        <v>44</v>
      </c>
      <c r="O234" t="str">
        <f>IF(AND(Table1_1[[#This Row],[Age]]&gt;=60,Table1_1[[#This Row],[Insurance Status]]="Insured"),"senior Eligible","Not Eligible")</f>
        <v>senior Eligible</v>
      </c>
      <c r="P234" t="str">
        <f>IF(OR(Table1_1[[#This Row],[Treatment Cost]]&gt;=20000,Table1_1[[#This Row],[Room Type]]="ICU"),"High Cost","Normal Cost")</f>
        <v>High Cost</v>
      </c>
      <c r="Q234" t="str">
        <f>IF(Table1_1[[#This Row],[Age]]&lt;=18,"Child",IF(Table1_1[[#This Row],[Age]]&lt;=59,"Adult",IF(Table1_1[[#This Row],[Age]]&gt;=60,"Senior")))</f>
        <v>Senior</v>
      </c>
    </row>
    <row r="235" spans="1:17" x14ac:dyDescent="0.25">
      <c r="A235" t="s">
        <v>329</v>
      </c>
      <c r="B235" t="s">
        <v>359</v>
      </c>
      <c r="C235" t="s">
        <v>56</v>
      </c>
      <c r="D235">
        <v>80</v>
      </c>
      <c r="E235" t="s">
        <v>47</v>
      </c>
      <c r="F235" t="s">
        <v>36</v>
      </c>
      <c r="G235" t="s">
        <v>356</v>
      </c>
      <c r="H235" s="2">
        <v>46060</v>
      </c>
      <c r="I235" s="2">
        <v>46064</v>
      </c>
      <c r="J235" t="s">
        <v>357</v>
      </c>
      <c r="K235" t="s">
        <v>37</v>
      </c>
      <c r="L235">
        <v>32519</v>
      </c>
      <c r="M235" t="s">
        <v>354</v>
      </c>
      <c r="N235" t="s">
        <v>39</v>
      </c>
      <c r="O235" t="str">
        <f>IF(AND(Table1_1[[#This Row],[Age]]&gt;=60,Table1_1[[#This Row],[Insurance Status]]="Insured"),"senior Eligible","Not Eligible")</f>
        <v>Not Eligible</v>
      </c>
      <c r="P235" t="str">
        <f>IF(OR(Table1_1[[#This Row],[Treatment Cost]]&gt;=20000,Table1_1[[#This Row],[Room Type]]="ICU"),"High Cost","Normal Cost")</f>
        <v>High Cost</v>
      </c>
      <c r="Q235" t="str">
        <f>IF(Table1_1[[#This Row],[Age]]&lt;=18,"Child",IF(Table1_1[[#This Row],[Age]]&lt;=59,"Adult",IF(Table1_1[[#This Row],[Age]]&gt;=60,"Senior")))</f>
        <v>Senior</v>
      </c>
    </row>
    <row r="236" spans="1:17" x14ac:dyDescent="0.25">
      <c r="A236" t="s">
        <v>280</v>
      </c>
      <c r="B236" t="s">
        <v>359</v>
      </c>
      <c r="C236" t="s">
        <v>41</v>
      </c>
      <c r="D236">
        <v>82</v>
      </c>
      <c r="E236" t="s">
        <v>17</v>
      </c>
      <c r="F236" t="s">
        <v>36</v>
      </c>
      <c r="G236" t="s">
        <v>352</v>
      </c>
      <c r="H236" s="2">
        <v>46029</v>
      </c>
      <c r="I236" s="2">
        <v>46031</v>
      </c>
      <c r="J236" t="s">
        <v>362</v>
      </c>
      <c r="K236" t="s">
        <v>21</v>
      </c>
      <c r="L236">
        <v>31941</v>
      </c>
      <c r="M236" t="s">
        <v>354</v>
      </c>
      <c r="N236" t="s">
        <v>44</v>
      </c>
      <c r="O236" t="str">
        <f>IF(AND(Table1_1[[#This Row],[Age]]&gt;=60,Table1_1[[#This Row],[Insurance Status]]="Insured"),"senior Eligible","Not Eligible")</f>
        <v>Not Eligible</v>
      </c>
      <c r="P236" t="str">
        <f>IF(OR(Table1_1[[#This Row],[Treatment Cost]]&gt;=20000,Table1_1[[#This Row],[Room Type]]="ICU"),"High Cost","Normal Cost")</f>
        <v>High Cost</v>
      </c>
      <c r="Q236" t="str">
        <f>IF(Table1_1[[#This Row],[Age]]&lt;=18,"Child",IF(Table1_1[[#This Row],[Age]]&lt;=59,"Adult",IF(Table1_1[[#This Row],[Age]]&gt;=60,"Senior")))</f>
        <v>Senior</v>
      </c>
    </row>
    <row r="237" spans="1:17" x14ac:dyDescent="0.25">
      <c r="A237" t="s">
        <v>147</v>
      </c>
      <c r="B237" t="s">
        <v>364</v>
      </c>
      <c r="C237" t="s">
        <v>41</v>
      </c>
      <c r="D237">
        <v>34</v>
      </c>
      <c r="E237" t="s">
        <v>17</v>
      </c>
      <c r="F237" t="s">
        <v>36</v>
      </c>
      <c r="G237" t="s">
        <v>356</v>
      </c>
      <c r="H237" s="2">
        <v>46103</v>
      </c>
      <c r="I237" s="2">
        <v>46111</v>
      </c>
      <c r="J237" t="s">
        <v>357</v>
      </c>
      <c r="K237" t="s">
        <v>31</v>
      </c>
      <c r="L237">
        <v>31587</v>
      </c>
      <c r="M237" t="s">
        <v>358</v>
      </c>
      <c r="N237" t="s">
        <v>23</v>
      </c>
      <c r="O237" t="str">
        <f>IF(AND(Table1_1[[#This Row],[Age]]&gt;=60,Table1_1[[#This Row],[Insurance Status]]="Insured"),"senior Eligible","Not Eligible")</f>
        <v>Not Eligible</v>
      </c>
      <c r="P237" t="str">
        <f>IF(OR(Table1_1[[#This Row],[Treatment Cost]]&gt;=20000,Table1_1[[#This Row],[Room Type]]="ICU"),"High Cost","Normal Cost")</f>
        <v>High Cost</v>
      </c>
      <c r="Q237" t="str">
        <f>IF(Table1_1[[#This Row],[Age]]&lt;=18,"Child",IF(Table1_1[[#This Row],[Age]]&lt;=59,"Adult",IF(Table1_1[[#This Row],[Age]]&gt;=60,"Senior")))</f>
        <v>Adult</v>
      </c>
    </row>
    <row r="238" spans="1:17" x14ac:dyDescent="0.25">
      <c r="A238" t="s">
        <v>114</v>
      </c>
      <c r="B238" t="s">
        <v>363</v>
      </c>
      <c r="C238" t="s">
        <v>41</v>
      </c>
      <c r="D238">
        <v>22</v>
      </c>
      <c r="E238" t="s">
        <v>35</v>
      </c>
      <c r="F238" t="s">
        <v>36</v>
      </c>
      <c r="G238" t="s">
        <v>356</v>
      </c>
      <c r="H238" s="2">
        <v>46187</v>
      </c>
      <c r="I238" s="2">
        <v>46192</v>
      </c>
      <c r="J238" t="s">
        <v>357</v>
      </c>
      <c r="K238" t="s">
        <v>31</v>
      </c>
      <c r="L238">
        <v>31307</v>
      </c>
      <c r="M238" t="s">
        <v>354</v>
      </c>
      <c r="N238" t="s">
        <v>39</v>
      </c>
      <c r="O238" t="str">
        <f>IF(AND(Table1_1[[#This Row],[Age]]&gt;=60,Table1_1[[#This Row],[Insurance Status]]="Insured"),"senior Eligible","Not Eligible")</f>
        <v>Not Eligible</v>
      </c>
      <c r="P238" t="str">
        <f>IF(OR(Table1_1[[#This Row],[Treatment Cost]]&gt;=20000,Table1_1[[#This Row],[Room Type]]="ICU"),"High Cost","Normal Cost")</f>
        <v>High Cost</v>
      </c>
      <c r="Q238" t="str">
        <f>IF(Table1_1[[#This Row],[Age]]&lt;=18,"Child",IF(Table1_1[[#This Row],[Age]]&lt;=59,"Adult",IF(Table1_1[[#This Row],[Age]]&gt;=60,"Senior")))</f>
        <v>Adult</v>
      </c>
    </row>
    <row r="239" spans="1:17" x14ac:dyDescent="0.25">
      <c r="A239" t="s">
        <v>275</v>
      </c>
      <c r="B239" t="s">
        <v>359</v>
      </c>
      <c r="C239" t="s">
        <v>56</v>
      </c>
      <c r="D239">
        <v>60</v>
      </c>
      <c r="E239" t="s">
        <v>27</v>
      </c>
      <c r="F239" t="s">
        <v>36</v>
      </c>
      <c r="G239" t="s">
        <v>352</v>
      </c>
      <c r="H239" s="2">
        <v>46085</v>
      </c>
      <c r="I239" s="2">
        <v>46094</v>
      </c>
      <c r="J239" t="s">
        <v>353</v>
      </c>
      <c r="K239" t="s">
        <v>31</v>
      </c>
      <c r="L239">
        <v>29812</v>
      </c>
      <c r="M239" t="s">
        <v>354</v>
      </c>
      <c r="N239" t="s">
        <v>23</v>
      </c>
      <c r="O239" t="str">
        <f>IF(AND(Table1_1[[#This Row],[Age]]&gt;=60,Table1_1[[#This Row],[Insurance Status]]="Insured"),"senior Eligible","Not Eligible")</f>
        <v>Not Eligible</v>
      </c>
      <c r="P239" t="str">
        <f>IF(OR(Table1_1[[#This Row],[Treatment Cost]]&gt;=20000,Table1_1[[#This Row],[Room Type]]="ICU"),"High Cost","Normal Cost")</f>
        <v>High Cost</v>
      </c>
      <c r="Q239" t="str">
        <f>IF(Table1_1[[#This Row],[Age]]&lt;=18,"Child",IF(Table1_1[[#This Row],[Age]]&lt;=59,"Adult",IF(Table1_1[[#This Row],[Age]]&gt;=60,"Senior")))</f>
        <v>Senior</v>
      </c>
    </row>
    <row r="240" spans="1:17" x14ac:dyDescent="0.25">
      <c r="A240" t="s">
        <v>33</v>
      </c>
      <c r="B240" t="s">
        <v>355</v>
      </c>
      <c r="C240" t="s">
        <v>56</v>
      </c>
      <c r="D240">
        <v>30</v>
      </c>
      <c r="E240" t="s">
        <v>35</v>
      </c>
      <c r="F240" t="s">
        <v>36</v>
      </c>
      <c r="G240" t="s">
        <v>352</v>
      </c>
      <c r="H240" s="2">
        <v>46094</v>
      </c>
      <c r="I240" s="2">
        <v>46102</v>
      </c>
      <c r="J240" t="s">
        <v>357</v>
      </c>
      <c r="K240" t="s">
        <v>37</v>
      </c>
      <c r="L240">
        <v>29659</v>
      </c>
      <c r="M240" t="s">
        <v>358</v>
      </c>
      <c r="N240" t="s">
        <v>39</v>
      </c>
      <c r="O240" t="str">
        <f>IF(AND(Table1_1[[#This Row],[Age]]&gt;=60,Table1_1[[#This Row],[Insurance Status]]="Insured"),"senior Eligible","Not Eligible")</f>
        <v>Not Eligible</v>
      </c>
      <c r="P240" t="str">
        <f>IF(OR(Table1_1[[#This Row],[Treatment Cost]]&gt;=20000,Table1_1[[#This Row],[Room Type]]="ICU"),"High Cost","Normal Cost")</f>
        <v>High Cost</v>
      </c>
      <c r="Q240" t="str">
        <f>IF(Table1_1[[#This Row],[Age]]&lt;=18,"Child",IF(Table1_1[[#This Row],[Age]]&lt;=59,"Adult",IF(Table1_1[[#This Row],[Age]]&gt;=60,"Senior")))</f>
        <v>Adult</v>
      </c>
    </row>
    <row r="241" spans="1:17" x14ac:dyDescent="0.25">
      <c r="A241" t="s">
        <v>55</v>
      </c>
      <c r="B241" t="s">
        <v>361</v>
      </c>
      <c r="C241" t="s">
        <v>56</v>
      </c>
      <c r="D241">
        <v>29</v>
      </c>
      <c r="E241" t="s">
        <v>17</v>
      </c>
      <c r="F241" t="s">
        <v>36</v>
      </c>
      <c r="G241" t="s">
        <v>352</v>
      </c>
      <c r="H241" s="2">
        <v>46062</v>
      </c>
      <c r="I241" s="2">
        <v>46067</v>
      </c>
      <c r="J241" t="s">
        <v>362</v>
      </c>
      <c r="K241" t="s">
        <v>21</v>
      </c>
      <c r="L241">
        <v>28635</v>
      </c>
      <c r="M241" t="s">
        <v>354</v>
      </c>
      <c r="N241" t="s">
        <v>39</v>
      </c>
      <c r="O241" t="str">
        <f>IF(AND(Table1_1[[#This Row],[Age]]&gt;=60,Table1_1[[#This Row],[Insurance Status]]="Insured"),"senior Eligible","Not Eligible")</f>
        <v>Not Eligible</v>
      </c>
      <c r="P241" t="str">
        <f>IF(OR(Table1_1[[#This Row],[Treatment Cost]]&gt;=20000,Table1_1[[#This Row],[Room Type]]="ICU"),"High Cost","Normal Cost")</f>
        <v>High Cost</v>
      </c>
      <c r="Q241" t="str">
        <f>IF(Table1_1[[#This Row],[Age]]&lt;=18,"Child",IF(Table1_1[[#This Row],[Age]]&lt;=59,"Adult",IF(Table1_1[[#This Row],[Age]]&gt;=60,"Senior")))</f>
        <v>Adult</v>
      </c>
    </row>
    <row r="242" spans="1:17" x14ac:dyDescent="0.25">
      <c r="A242" t="s">
        <v>152</v>
      </c>
      <c r="B242" t="s">
        <v>355</v>
      </c>
      <c r="C242" t="s">
        <v>41</v>
      </c>
      <c r="D242">
        <v>43</v>
      </c>
      <c r="E242" t="s">
        <v>35</v>
      </c>
      <c r="F242" t="s">
        <v>36</v>
      </c>
      <c r="G242" t="s">
        <v>360</v>
      </c>
      <c r="H242" s="2">
        <v>46098</v>
      </c>
      <c r="I242" s="2">
        <v>46108</v>
      </c>
      <c r="J242" t="s">
        <v>353</v>
      </c>
      <c r="K242" t="s">
        <v>31</v>
      </c>
      <c r="L242">
        <v>26868</v>
      </c>
      <c r="M242" t="s">
        <v>358</v>
      </c>
      <c r="N242" t="s">
        <v>23</v>
      </c>
      <c r="O242" t="str">
        <f>IF(AND(Table1_1[[#This Row],[Age]]&gt;=60,Table1_1[[#This Row],[Insurance Status]]="Insured"),"senior Eligible","Not Eligible")</f>
        <v>Not Eligible</v>
      </c>
      <c r="P242" t="str">
        <f>IF(OR(Table1_1[[#This Row],[Treatment Cost]]&gt;=20000,Table1_1[[#This Row],[Room Type]]="ICU"),"High Cost","Normal Cost")</f>
        <v>High Cost</v>
      </c>
      <c r="Q242" t="str">
        <f>IF(Table1_1[[#This Row],[Age]]&lt;=18,"Child",IF(Table1_1[[#This Row],[Age]]&lt;=59,"Adult",IF(Table1_1[[#This Row],[Age]]&gt;=60,"Senior")))</f>
        <v>Adult</v>
      </c>
    </row>
    <row r="243" spans="1:17" x14ac:dyDescent="0.25">
      <c r="A243" t="s">
        <v>174</v>
      </c>
      <c r="B243" t="s">
        <v>351</v>
      </c>
      <c r="C243" t="s">
        <v>56</v>
      </c>
      <c r="D243">
        <v>74</v>
      </c>
      <c r="E243" t="s">
        <v>47</v>
      </c>
      <c r="F243" t="s">
        <v>36</v>
      </c>
      <c r="G243" t="s">
        <v>352</v>
      </c>
      <c r="H243" s="2">
        <v>46079</v>
      </c>
      <c r="I243" s="2">
        <v>46088</v>
      </c>
      <c r="J243" t="s">
        <v>357</v>
      </c>
      <c r="K243" t="s">
        <v>37</v>
      </c>
      <c r="L243">
        <v>26844</v>
      </c>
      <c r="M243" t="s">
        <v>354</v>
      </c>
      <c r="N243" t="s">
        <v>39</v>
      </c>
      <c r="O243" t="str">
        <f>IF(AND(Table1_1[[#This Row],[Age]]&gt;=60,Table1_1[[#This Row],[Insurance Status]]="Insured"),"senior Eligible","Not Eligible")</f>
        <v>Not Eligible</v>
      </c>
      <c r="P243" t="str">
        <f>IF(OR(Table1_1[[#This Row],[Treatment Cost]]&gt;=20000,Table1_1[[#This Row],[Room Type]]="ICU"),"High Cost","Normal Cost")</f>
        <v>High Cost</v>
      </c>
      <c r="Q243" t="str">
        <f>IF(Table1_1[[#This Row],[Age]]&lt;=18,"Child",IF(Table1_1[[#This Row],[Age]]&lt;=59,"Adult",IF(Table1_1[[#This Row],[Age]]&gt;=60,"Senior")))</f>
        <v>Senior</v>
      </c>
    </row>
    <row r="244" spans="1:17" x14ac:dyDescent="0.25">
      <c r="A244" t="s">
        <v>290</v>
      </c>
      <c r="B244" t="s">
        <v>361</v>
      </c>
      <c r="C244" t="s">
        <v>41</v>
      </c>
      <c r="D244">
        <v>26</v>
      </c>
      <c r="E244" t="s">
        <v>17</v>
      </c>
      <c r="F244" t="s">
        <v>36</v>
      </c>
      <c r="G244" t="s">
        <v>352</v>
      </c>
      <c r="H244" s="2">
        <v>46160</v>
      </c>
      <c r="I244" s="2">
        <v>46163</v>
      </c>
      <c r="J244" t="s">
        <v>357</v>
      </c>
      <c r="K244" t="s">
        <v>31</v>
      </c>
      <c r="L244">
        <v>26464</v>
      </c>
      <c r="M244" t="s">
        <v>354</v>
      </c>
      <c r="N244" t="s">
        <v>23</v>
      </c>
      <c r="O244" t="str">
        <f>IF(AND(Table1_1[[#This Row],[Age]]&gt;=60,Table1_1[[#This Row],[Insurance Status]]="Insured"),"senior Eligible","Not Eligible")</f>
        <v>Not Eligible</v>
      </c>
      <c r="P244" t="str">
        <f>IF(OR(Table1_1[[#This Row],[Treatment Cost]]&gt;=20000,Table1_1[[#This Row],[Room Type]]="ICU"),"High Cost","Normal Cost")</f>
        <v>High Cost</v>
      </c>
      <c r="Q244" t="str">
        <f>IF(Table1_1[[#This Row],[Age]]&lt;=18,"Child",IF(Table1_1[[#This Row],[Age]]&lt;=59,"Adult",IF(Table1_1[[#This Row],[Age]]&gt;=60,"Senior")))</f>
        <v>Adult</v>
      </c>
    </row>
    <row r="245" spans="1:17" x14ac:dyDescent="0.25">
      <c r="A245" t="s">
        <v>110</v>
      </c>
      <c r="B245" t="s">
        <v>363</v>
      </c>
      <c r="C245" t="s">
        <v>56</v>
      </c>
      <c r="D245">
        <v>40</v>
      </c>
      <c r="E245" t="s">
        <v>27</v>
      </c>
      <c r="F245" t="s">
        <v>36</v>
      </c>
      <c r="G245" t="s">
        <v>54</v>
      </c>
      <c r="H245" s="2">
        <v>46035</v>
      </c>
      <c r="I245" s="2">
        <v>46042</v>
      </c>
      <c r="J245" t="s">
        <v>357</v>
      </c>
      <c r="K245" t="s">
        <v>48</v>
      </c>
      <c r="L245">
        <v>25984</v>
      </c>
      <c r="M245" t="s">
        <v>354</v>
      </c>
      <c r="N245" t="s">
        <v>39</v>
      </c>
      <c r="O245" t="str">
        <f>IF(AND(Table1_1[[#This Row],[Age]]&gt;=60,Table1_1[[#This Row],[Insurance Status]]="Insured"),"senior Eligible","Not Eligible")</f>
        <v>Not Eligible</v>
      </c>
      <c r="P245" t="str">
        <f>IF(OR(Table1_1[[#This Row],[Treatment Cost]]&gt;=20000,Table1_1[[#This Row],[Room Type]]="ICU"),"High Cost","Normal Cost")</f>
        <v>High Cost</v>
      </c>
      <c r="Q245" t="str">
        <f>IF(Table1_1[[#This Row],[Age]]&lt;=18,"Child",IF(Table1_1[[#This Row],[Age]]&lt;=59,"Adult",IF(Table1_1[[#This Row],[Age]]&gt;=60,"Senior")))</f>
        <v>Adult</v>
      </c>
    </row>
    <row r="246" spans="1:17" x14ac:dyDescent="0.25">
      <c r="A246" t="s">
        <v>141</v>
      </c>
      <c r="B246" t="s">
        <v>364</v>
      </c>
      <c r="C246" t="s">
        <v>56</v>
      </c>
      <c r="D246">
        <v>21</v>
      </c>
      <c r="E246" t="s">
        <v>47</v>
      </c>
      <c r="F246" t="s">
        <v>36</v>
      </c>
      <c r="G246" t="s">
        <v>54</v>
      </c>
      <c r="H246" s="2">
        <v>46024</v>
      </c>
      <c r="I246" s="2">
        <v>46029</v>
      </c>
      <c r="J246" t="s">
        <v>353</v>
      </c>
      <c r="K246" t="s">
        <v>21</v>
      </c>
      <c r="L246">
        <v>25470</v>
      </c>
      <c r="M246" t="s">
        <v>358</v>
      </c>
      <c r="N246" t="s">
        <v>23</v>
      </c>
      <c r="O246" t="str">
        <f>IF(AND(Table1_1[[#This Row],[Age]]&gt;=60,Table1_1[[#This Row],[Insurance Status]]="Insured"),"senior Eligible","Not Eligible")</f>
        <v>Not Eligible</v>
      </c>
      <c r="P246" t="str">
        <f>IF(OR(Table1_1[[#This Row],[Treatment Cost]]&gt;=20000,Table1_1[[#This Row],[Room Type]]="ICU"),"High Cost","Normal Cost")</f>
        <v>High Cost</v>
      </c>
      <c r="Q246" t="str">
        <f>IF(Table1_1[[#This Row],[Age]]&lt;=18,"Child",IF(Table1_1[[#This Row],[Age]]&lt;=59,"Adult",IF(Table1_1[[#This Row],[Age]]&gt;=60,"Senior")))</f>
        <v>Adult</v>
      </c>
    </row>
    <row r="247" spans="1:17" x14ac:dyDescent="0.25">
      <c r="A247" t="s">
        <v>172</v>
      </c>
      <c r="B247" t="s">
        <v>351</v>
      </c>
      <c r="C247" t="s">
        <v>56</v>
      </c>
      <c r="D247">
        <v>33</v>
      </c>
      <c r="E247" t="s">
        <v>27</v>
      </c>
      <c r="F247" t="s">
        <v>36</v>
      </c>
      <c r="G247" t="s">
        <v>54</v>
      </c>
      <c r="H247" s="2">
        <v>46177</v>
      </c>
      <c r="I247" s="2">
        <v>46182</v>
      </c>
      <c r="J247" t="s">
        <v>353</v>
      </c>
      <c r="K247" t="s">
        <v>37</v>
      </c>
      <c r="L247">
        <v>23311</v>
      </c>
      <c r="M247" t="s">
        <v>358</v>
      </c>
      <c r="N247" t="s">
        <v>23</v>
      </c>
      <c r="O247" t="str">
        <f>IF(AND(Table1_1[[#This Row],[Age]]&gt;=60,Table1_1[[#This Row],[Insurance Status]]="Insured"),"senior Eligible","Not Eligible")</f>
        <v>Not Eligible</v>
      </c>
      <c r="P247" t="str">
        <f>IF(OR(Table1_1[[#This Row],[Treatment Cost]]&gt;=20000,Table1_1[[#This Row],[Room Type]]="ICU"),"High Cost","Normal Cost")</f>
        <v>High Cost</v>
      </c>
      <c r="Q247" t="str">
        <f>IF(Table1_1[[#This Row],[Age]]&lt;=18,"Child",IF(Table1_1[[#This Row],[Age]]&lt;=59,"Adult",IF(Table1_1[[#This Row],[Age]]&gt;=60,"Senior")))</f>
        <v>Adult</v>
      </c>
    </row>
    <row r="248" spans="1:17" x14ac:dyDescent="0.25">
      <c r="A248" t="s">
        <v>49</v>
      </c>
      <c r="B248" t="s">
        <v>351</v>
      </c>
      <c r="C248" t="s">
        <v>56</v>
      </c>
      <c r="D248">
        <v>18</v>
      </c>
      <c r="E248" t="s">
        <v>17</v>
      </c>
      <c r="F248" t="s">
        <v>36</v>
      </c>
      <c r="G248" t="s">
        <v>360</v>
      </c>
      <c r="H248" s="2">
        <v>46046</v>
      </c>
      <c r="I248" s="2">
        <v>46048</v>
      </c>
      <c r="J248" t="s">
        <v>353</v>
      </c>
      <c r="K248" t="s">
        <v>37</v>
      </c>
      <c r="L248">
        <v>21587</v>
      </c>
      <c r="M248" t="s">
        <v>354</v>
      </c>
      <c r="N248" t="s">
        <v>23</v>
      </c>
      <c r="O248" t="str">
        <f>IF(AND(Table1_1[[#This Row],[Age]]&gt;=60,Table1_1[[#This Row],[Insurance Status]]="Insured"),"senior Eligible","Not Eligible")</f>
        <v>Not Eligible</v>
      </c>
      <c r="P248" t="str">
        <f>IF(OR(Table1_1[[#This Row],[Treatment Cost]]&gt;=20000,Table1_1[[#This Row],[Room Type]]="ICU"),"High Cost","Normal Cost")</f>
        <v>High Cost</v>
      </c>
      <c r="Q248" t="str">
        <f>IF(Table1_1[[#This Row],[Age]]&lt;=18,"Child",IF(Table1_1[[#This Row],[Age]]&lt;=59,"Adult",IF(Table1_1[[#This Row],[Age]]&gt;=60,"Senior")))</f>
        <v>Child</v>
      </c>
    </row>
    <row r="249" spans="1:17" x14ac:dyDescent="0.25">
      <c r="A249" t="s">
        <v>204</v>
      </c>
      <c r="B249" t="s">
        <v>351</v>
      </c>
      <c r="C249" t="s">
        <v>56</v>
      </c>
      <c r="D249">
        <v>34</v>
      </c>
      <c r="E249" t="s">
        <v>47</v>
      </c>
      <c r="F249" t="s">
        <v>36</v>
      </c>
      <c r="G249" t="s">
        <v>352</v>
      </c>
      <c r="H249" s="2">
        <v>46158</v>
      </c>
      <c r="I249" s="2">
        <v>46159</v>
      </c>
      <c r="J249" t="s">
        <v>353</v>
      </c>
      <c r="K249" t="s">
        <v>31</v>
      </c>
      <c r="L249">
        <v>20537</v>
      </c>
      <c r="M249" t="s">
        <v>358</v>
      </c>
      <c r="N249" t="s">
        <v>23</v>
      </c>
      <c r="O249" t="str">
        <f>IF(AND(Table1_1[[#This Row],[Age]]&gt;=60,Table1_1[[#This Row],[Insurance Status]]="Insured"),"senior Eligible","Not Eligible")</f>
        <v>Not Eligible</v>
      </c>
      <c r="P249" t="str">
        <f>IF(OR(Table1_1[[#This Row],[Treatment Cost]]&gt;=20000,Table1_1[[#This Row],[Room Type]]="ICU"),"High Cost","Normal Cost")</f>
        <v>High Cost</v>
      </c>
      <c r="Q249" t="str">
        <f>IF(Table1_1[[#This Row],[Age]]&lt;=18,"Child",IF(Table1_1[[#This Row],[Age]]&lt;=59,"Adult",IF(Table1_1[[#This Row],[Age]]&gt;=60,"Senior")))</f>
        <v>Adult</v>
      </c>
    </row>
    <row r="250" spans="1:17" x14ac:dyDescent="0.25">
      <c r="A250" t="s">
        <v>140</v>
      </c>
      <c r="B250" t="s">
        <v>361</v>
      </c>
      <c r="C250" t="s">
        <v>56</v>
      </c>
      <c r="D250">
        <v>77</v>
      </c>
      <c r="E250" t="s">
        <v>27</v>
      </c>
      <c r="F250" t="s">
        <v>36</v>
      </c>
      <c r="G250" t="s">
        <v>352</v>
      </c>
      <c r="H250" s="2">
        <v>46083</v>
      </c>
      <c r="I250" s="2">
        <v>46092</v>
      </c>
      <c r="J250" t="s">
        <v>362</v>
      </c>
      <c r="K250" t="s">
        <v>48</v>
      </c>
      <c r="L250">
        <v>20118</v>
      </c>
      <c r="M250" t="s">
        <v>358</v>
      </c>
      <c r="N250" t="s">
        <v>23</v>
      </c>
      <c r="O250" t="str">
        <f>IF(AND(Table1_1[[#This Row],[Age]]&gt;=60,Table1_1[[#This Row],[Insurance Status]]="Insured"),"senior Eligible","Not Eligible")</f>
        <v>senior Eligible</v>
      </c>
      <c r="P250" t="str">
        <f>IF(OR(Table1_1[[#This Row],[Treatment Cost]]&gt;=20000,Table1_1[[#This Row],[Room Type]]="ICU"),"High Cost","Normal Cost")</f>
        <v>High Cost</v>
      </c>
      <c r="Q250" t="str">
        <f>IF(Table1_1[[#This Row],[Age]]&lt;=18,"Child",IF(Table1_1[[#This Row],[Age]]&lt;=59,"Adult",IF(Table1_1[[#This Row],[Age]]&gt;=60,"Senior")))</f>
        <v>Senior</v>
      </c>
    </row>
    <row r="251" spans="1:17" x14ac:dyDescent="0.25">
      <c r="A251" t="s">
        <v>231</v>
      </c>
      <c r="B251" t="s">
        <v>363</v>
      </c>
      <c r="C251" t="s">
        <v>41</v>
      </c>
      <c r="D251">
        <v>49</v>
      </c>
      <c r="E251" t="s">
        <v>27</v>
      </c>
      <c r="F251" t="s">
        <v>36</v>
      </c>
      <c r="G251" t="s">
        <v>352</v>
      </c>
      <c r="H251" s="2">
        <v>46121</v>
      </c>
      <c r="I251" s="2">
        <v>46129</v>
      </c>
      <c r="J251" t="s">
        <v>357</v>
      </c>
      <c r="K251" t="s">
        <v>21</v>
      </c>
      <c r="L251">
        <v>19865</v>
      </c>
      <c r="M251" t="s">
        <v>354</v>
      </c>
      <c r="N251" t="s">
        <v>44</v>
      </c>
      <c r="O251" t="str">
        <f>IF(AND(Table1_1[[#This Row],[Age]]&gt;=60,Table1_1[[#This Row],[Insurance Status]]="Insured"),"senior Eligible","Not Eligible")</f>
        <v>Not Eligible</v>
      </c>
      <c r="P251" t="str">
        <f>IF(OR(Table1_1[[#This Row],[Treatment Cost]]&gt;=20000,Table1_1[[#This Row],[Room Type]]="ICU"),"High Cost","Normal Cost")</f>
        <v>Normal Cost</v>
      </c>
      <c r="Q251" t="str">
        <f>IF(Table1_1[[#This Row],[Age]]&lt;=18,"Child",IF(Table1_1[[#This Row],[Age]]&lt;=59,"Adult",IF(Table1_1[[#This Row],[Age]]&gt;=60,"Senior")))</f>
        <v>Adult</v>
      </c>
    </row>
    <row r="252" spans="1:17" x14ac:dyDescent="0.25">
      <c r="A252" t="s">
        <v>277</v>
      </c>
      <c r="B252" t="s">
        <v>363</v>
      </c>
      <c r="C252" t="s">
        <v>41</v>
      </c>
      <c r="D252">
        <v>36</v>
      </c>
      <c r="E252" t="s">
        <v>35</v>
      </c>
      <c r="F252" t="s">
        <v>36</v>
      </c>
      <c r="G252" t="s">
        <v>352</v>
      </c>
      <c r="H252" s="2">
        <v>46033</v>
      </c>
      <c r="I252" s="2">
        <v>46043</v>
      </c>
      <c r="J252" t="s">
        <v>353</v>
      </c>
      <c r="K252" t="s">
        <v>31</v>
      </c>
      <c r="L252">
        <v>18868</v>
      </c>
      <c r="M252" t="s">
        <v>358</v>
      </c>
      <c r="N252" t="s">
        <v>44</v>
      </c>
      <c r="O252" t="str">
        <f>IF(AND(Table1_1[[#This Row],[Age]]&gt;=60,Table1_1[[#This Row],[Insurance Status]]="Insured"),"senior Eligible","Not Eligible")</f>
        <v>Not Eligible</v>
      </c>
      <c r="P252" t="str">
        <f>IF(OR(Table1_1[[#This Row],[Treatment Cost]]&gt;=20000,Table1_1[[#This Row],[Room Type]]="ICU"),"High Cost","Normal Cost")</f>
        <v>Normal Cost</v>
      </c>
      <c r="Q252" t="str">
        <f>IF(Table1_1[[#This Row],[Age]]&lt;=18,"Child",IF(Table1_1[[#This Row],[Age]]&lt;=59,"Adult",IF(Table1_1[[#This Row],[Age]]&gt;=60,"Senior")))</f>
        <v>Adult</v>
      </c>
    </row>
    <row r="253" spans="1:17" x14ac:dyDescent="0.25">
      <c r="A253" t="s">
        <v>288</v>
      </c>
      <c r="B253" t="s">
        <v>359</v>
      </c>
      <c r="C253" t="s">
        <v>41</v>
      </c>
      <c r="D253">
        <v>30</v>
      </c>
      <c r="E253" t="s">
        <v>35</v>
      </c>
      <c r="F253" t="s">
        <v>36</v>
      </c>
      <c r="G253" t="s">
        <v>54</v>
      </c>
      <c r="H253" s="2">
        <v>46054</v>
      </c>
      <c r="I253" s="2">
        <v>46064</v>
      </c>
      <c r="J253" t="s">
        <v>353</v>
      </c>
      <c r="K253" t="s">
        <v>31</v>
      </c>
      <c r="L253">
        <v>18426</v>
      </c>
      <c r="M253" t="s">
        <v>354</v>
      </c>
      <c r="N253" t="s">
        <v>44</v>
      </c>
      <c r="O253" t="str">
        <f>IF(AND(Table1_1[[#This Row],[Age]]&gt;=60,Table1_1[[#This Row],[Insurance Status]]="Insured"),"senior Eligible","Not Eligible")</f>
        <v>Not Eligible</v>
      </c>
      <c r="P253" t="str">
        <f>IF(OR(Table1_1[[#This Row],[Treatment Cost]]&gt;=20000,Table1_1[[#This Row],[Room Type]]="ICU"),"High Cost","Normal Cost")</f>
        <v>Normal Cost</v>
      </c>
      <c r="Q253" t="str">
        <f>IF(Table1_1[[#This Row],[Age]]&lt;=18,"Child",IF(Table1_1[[#This Row],[Age]]&lt;=59,"Adult",IF(Table1_1[[#This Row],[Age]]&gt;=60,"Senior")))</f>
        <v>Adult</v>
      </c>
    </row>
    <row r="254" spans="1:17" x14ac:dyDescent="0.25">
      <c r="A254" t="s">
        <v>52</v>
      </c>
      <c r="B254" t="s">
        <v>361</v>
      </c>
      <c r="C254" t="s">
        <v>56</v>
      </c>
      <c r="D254">
        <v>25</v>
      </c>
      <c r="E254" t="s">
        <v>17</v>
      </c>
      <c r="F254" t="s">
        <v>36</v>
      </c>
      <c r="G254" t="s">
        <v>54</v>
      </c>
      <c r="H254" s="2">
        <v>46120</v>
      </c>
      <c r="I254" s="2">
        <v>46125</v>
      </c>
      <c r="J254" t="s">
        <v>357</v>
      </c>
      <c r="K254" t="s">
        <v>31</v>
      </c>
      <c r="L254">
        <v>18211</v>
      </c>
      <c r="M254" t="s">
        <v>354</v>
      </c>
      <c r="N254" t="s">
        <v>44</v>
      </c>
      <c r="O254" t="str">
        <f>IF(AND(Table1_1[[#This Row],[Age]]&gt;=60,Table1_1[[#This Row],[Insurance Status]]="Insured"),"senior Eligible","Not Eligible")</f>
        <v>Not Eligible</v>
      </c>
      <c r="P254" t="str">
        <f>IF(OR(Table1_1[[#This Row],[Treatment Cost]]&gt;=20000,Table1_1[[#This Row],[Room Type]]="ICU"),"High Cost","Normal Cost")</f>
        <v>Normal Cost</v>
      </c>
      <c r="Q254" t="str">
        <f>IF(Table1_1[[#This Row],[Age]]&lt;=18,"Child",IF(Table1_1[[#This Row],[Age]]&lt;=59,"Adult",IF(Table1_1[[#This Row],[Age]]&gt;=60,"Senior")))</f>
        <v>Adult</v>
      </c>
    </row>
    <row r="255" spans="1:17" x14ac:dyDescent="0.25">
      <c r="A255" t="s">
        <v>153</v>
      </c>
      <c r="B255" t="s">
        <v>355</v>
      </c>
      <c r="C255" t="s">
        <v>56</v>
      </c>
      <c r="D255">
        <v>73</v>
      </c>
      <c r="E255" t="s">
        <v>17</v>
      </c>
      <c r="F255" t="s">
        <v>36</v>
      </c>
      <c r="G255" t="s">
        <v>54</v>
      </c>
      <c r="H255" s="2">
        <v>46098</v>
      </c>
      <c r="I255" s="2">
        <v>46102</v>
      </c>
      <c r="J255" t="s">
        <v>357</v>
      </c>
      <c r="K255" t="s">
        <v>48</v>
      </c>
      <c r="L255">
        <v>18028</v>
      </c>
      <c r="M255" t="s">
        <v>354</v>
      </c>
      <c r="N255" t="s">
        <v>23</v>
      </c>
      <c r="O255" t="str">
        <f>IF(AND(Table1_1[[#This Row],[Age]]&gt;=60,Table1_1[[#This Row],[Insurance Status]]="Insured"),"senior Eligible","Not Eligible")</f>
        <v>Not Eligible</v>
      </c>
      <c r="P255" t="str">
        <f>IF(OR(Table1_1[[#This Row],[Treatment Cost]]&gt;=20000,Table1_1[[#This Row],[Room Type]]="ICU"),"High Cost","Normal Cost")</f>
        <v>Normal Cost</v>
      </c>
      <c r="Q255" t="str">
        <f>IF(Table1_1[[#This Row],[Age]]&lt;=18,"Child",IF(Table1_1[[#This Row],[Age]]&lt;=59,"Adult",IF(Table1_1[[#This Row],[Age]]&gt;=60,"Senior")))</f>
        <v>Senior</v>
      </c>
    </row>
    <row r="256" spans="1:17" x14ac:dyDescent="0.25">
      <c r="A256" t="s">
        <v>117</v>
      </c>
      <c r="B256" t="s">
        <v>359</v>
      </c>
      <c r="C256" t="s">
        <v>56</v>
      </c>
      <c r="D256">
        <v>81</v>
      </c>
      <c r="E256" t="s">
        <v>17</v>
      </c>
      <c r="F256" t="s">
        <v>36</v>
      </c>
      <c r="G256" t="s">
        <v>54</v>
      </c>
      <c r="H256" s="2">
        <v>46186</v>
      </c>
      <c r="I256" s="2">
        <v>46194</v>
      </c>
      <c r="J256" t="s">
        <v>357</v>
      </c>
      <c r="K256" t="s">
        <v>21</v>
      </c>
      <c r="L256">
        <v>18001</v>
      </c>
      <c r="M256" t="s">
        <v>358</v>
      </c>
      <c r="N256" t="s">
        <v>44</v>
      </c>
      <c r="O256" t="str">
        <f>IF(AND(Table1_1[[#This Row],[Age]]&gt;=60,Table1_1[[#This Row],[Insurance Status]]="Insured"),"senior Eligible","Not Eligible")</f>
        <v>senior Eligible</v>
      </c>
      <c r="P256" t="str">
        <f>IF(OR(Table1_1[[#This Row],[Treatment Cost]]&gt;=20000,Table1_1[[#This Row],[Room Type]]="ICU"),"High Cost","Normal Cost")</f>
        <v>Normal Cost</v>
      </c>
      <c r="Q256" t="str">
        <f>IF(Table1_1[[#This Row],[Age]]&lt;=18,"Child",IF(Table1_1[[#This Row],[Age]]&lt;=59,"Adult",IF(Table1_1[[#This Row],[Age]]&gt;=60,"Senior")))</f>
        <v>Senior</v>
      </c>
    </row>
    <row r="257" spans="1:17" x14ac:dyDescent="0.25">
      <c r="A257" t="s">
        <v>130</v>
      </c>
      <c r="B257" t="s">
        <v>361</v>
      </c>
      <c r="C257" t="s">
        <v>56</v>
      </c>
      <c r="D257">
        <v>62</v>
      </c>
      <c r="E257" t="s">
        <v>35</v>
      </c>
      <c r="F257" t="s">
        <v>36</v>
      </c>
      <c r="G257" t="s">
        <v>54</v>
      </c>
      <c r="H257" s="2">
        <v>46090</v>
      </c>
      <c r="I257" s="2">
        <v>46093</v>
      </c>
      <c r="J257" t="s">
        <v>362</v>
      </c>
      <c r="K257" t="s">
        <v>37</v>
      </c>
      <c r="L257">
        <v>17868</v>
      </c>
      <c r="M257" t="s">
        <v>354</v>
      </c>
      <c r="N257" t="s">
        <v>23</v>
      </c>
      <c r="O257" t="str">
        <f>IF(AND(Table1_1[[#This Row],[Age]]&gt;=60,Table1_1[[#This Row],[Insurance Status]]="Insured"),"senior Eligible","Not Eligible")</f>
        <v>Not Eligible</v>
      </c>
      <c r="P257" t="str">
        <f>IF(OR(Table1_1[[#This Row],[Treatment Cost]]&gt;=20000,Table1_1[[#This Row],[Room Type]]="ICU"),"High Cost","Normal Cost")</f>
        <v>Normal Cost</v>
      </c>
      <c r="Q257" t="str">
        <f>IF(Table1_1[[#This Row],[Age]]&lt;=18,"Child",IF(Table1_1[[#This Row],[Age]]&lt;=59,"Adult",IF(Table1_1[[#This Row],[Age]]&gt;=60,"Senior")))</f>
        <v>Senior</v>
      </c>
    </row>
    <row r="258" spans="1:17" x14ac:dyDescent="0.25">
      <c r="A258" t="s">
        <v>350</v>
      </c>
      <c r="B258" t="s">
        <v>364</v>
      </c>
      <c r="C258" t="s">
        <v>41</v>
      </c>
      <c r="D258">
        <v>78</v>
      </c>
      <c r="E258" t="s">
        <v>47</v>
      </c>
      <c r="F258" t="s">
        <v>36</v>
      </c>
      <c r="G258" t="s">
        <v>54</v>
      </c>
      <c r="H258" s="2">
        <v>46091</v>
      </c>
      <c r="I258" s="2">
        <v>46101</v>
      </c>
      <c r="J258" t="s">
        <v>362</v>
      </c>
      <c r="K258" t="s">
        <v>21</v>
      </c>
      <c r="L258">
        <v>17332</v>
      </c>
      <c r="M258" t="s">
        <v>358</v>
      </c>
      <c r="N258" t="s">
        <v>39</v>
      </c>
      <c r="O258" t="str">
        <f>IF(AND(Table1_1[[#This Row],[Age]]&gt;=60,Table1_1[[#This Row],[Insurance Status]]="Insured"),"senior Eligible","Not Eligible")</f>
        <v>senior Eligible</v>
      </c>
      <c r="P258" t="str">
        <f>IF(OR(Table1_1[[#This Row],[Treatment Cost]]&gt;=20000,Table1_1[[#This Row],[Room Type]]="ICU"),"High Cost","Normal Cost")</f>
        <v>High Cost</v>
      </c>
      <c r="Q258" t="str">
        <f>IF(Table1_1[[#This Row],[Age]]&lt;=18,"Child",IF(Table1_1[[#This Row],[Age]]&lt;=59,"Adult",IF(Table1_1[[#This Row],[Age]]&gt;=60,"Senior")))</f>
        <v>Senior</v>
      </c>
    </row>
    <row r="259" spans="1:17" x14ac:dyDescent="0.25">
      <c r="A259" t="s">
        <v>178</v>
      </c>
      <c r="B259" t="s">
        <v>359</v>
      </c>
      <c r="C259" t="s">
        <v>41</v>
      </c>
      <c r="D259">
        <v>26</v>
      </c>
      <c r="E259" t="s">
        <v>17</v>
      </c>
      <c r="F259" t="s">
        <v>36</v>
      </c>
      <c r="G259" t="s">
        <v>356</v>
      </c>
      <c r="H259" s="2">
        <v>46050</v>
      </c>
      <c r="I259" s="2">
        <v>46053</v>
      </c>
      <c r="J259" t="s">
        <v>353</v>
      </c>
      <c r="K259" t="s">
        <v>48</v>
      </c>
      <c r="L259">
        <v>17231</v>
      </c>
      <c r="M259" t="s">
        <v>358</v>
      </c>
      <c r="N259" t="s">
        <v>23</v>
      </c>
      <c r="O259" t="str">
        <f>IF(AND(Table1_1[[#This Row],[Age]]&gt;=60,Table1_1[[#This Row],[Insurance Status]]="Insured"),"senior Eligible","Not Eligible")</f>
        <v>Not Eligible</v>
      </c>
      <c r="P259" t="str">
        <f>IF(OR(Table1_1[[#This Row],[Treatment Cost]]&gt;=20000,Table1_1[[#This Row],[Room Type]]="ICU"),"High Cost","Normal Cost")</f>
        <v>Normal Cost</v>
      </c>
      <c r="Q259" t="str">
        <f>IF(Table1_1[[#This Row],[Age]]&lt;=18,"Child",IF(Table1_1[[#This Row],[Age]]&lt;=59,"Adult",IF(Table1_1[[#This Row],[Age]]&gt;=60,"Senior")))</f>
        <v>Adult</v>
      </c>
    </row>
    <row r="260" spans="1:17" x14ac:dyDescent="0.25">
      <c r="A260" t="s">
        <v>162</v>
      </c>
      <c r="B260" t="s">
        <v>355</v>
      </c>
      <c r="C260" t="s">
        <v>56</v>
      </c>
      <c r="D260">
        <v>26</v>
      </c>
      <c r="E260" t="s">
        <v>47</v>
      </c>
      <c r="F260" t="s">
        <v>36</v>
      </c>
      <c r="G260" t="s">
        <v>360</v>
      </c>
      <c r="H260" s="2">
        <v>46148</v>
      </c>
      <c r="I260" s="2">
        <v>46154</v>
      </c>
      <c r="J260" t="s">
        <v>357</v>
      </c>
      <c r="K260" t="s">
        <v>31</v>
      </c>
      <c r="L260">
        <v>16723</v>
      </c>
      <c r="M260" t="s">
        <v>354</v>
      </c>
      <c r="N260" t="s">
        <v>44</v>
      </c>
      <c r="O260" t="str">
        <f>IF(AND(Table1_1[[#This Row],[Age]]&gt;=60,Table1_1[[#This Row],[Insurance Status]]="Insured"),"senior Eligible","Not Eligible")</f>
        <v>Not Eligible</v>
      </c>
      <c r="P260" t="str">
        <f>IF(OR(Table1_1[[#This Row],[Treatment Cost]]&gt;=20000,Table1_1[[#This Row],[Room Type]]="ICU"),"High Cost","Normal Cost")</f>
        <v>Normal Cost</v>
      </c>
      <c r="Q260" t="str">
        <f>IF(Table1_1[[#This Row],[Age]]&lt;=18,"Child",IF(Table1_1[[#This Row],[Age]]&lt;=59,"Adult",IF(Table1_1[[#This Row],[Age]]&gt;=60,"Senior")))</f>
        <v>Adult</v>
      </c>
    </row>
    <row r="261" spans="1:17" x14ac:dyDescent="0.25">
      <c r="A261" t="s">
        <v>259</v>
      </c>
      <c r="B261" t="s">
        <v>351</v>
      </c>
      <c r="C261" t="s">
        <v>56</v>
      </c>
      <c r="D261">
        <v>49</v>
      </c>
      <c r="E261" t="s">
        <v>35</v>
      </c>
      <c r="F261" t="s">
        <v>36</v>
      </c>
      <c r="G261" t="s">
        <v>360</v>
      </c>
      <c r="H261" s="2">
        <v>46194</v>
      </c>
      <c r="I261" s="2">
        <v>46201</v>
      </c>
      <c r="J261" t="s">
        <v>353</v>
      </c>
      <c r="K261" t="s">
        <v>31</v>
      </c>
      <c r="L261">
        <v>16722</v>
      </c>
      <c r="M261" t="s">
        <v>354</v>
      </c>
      <c r="N261" t="s">
        <v>23</v>
      </c>
      <c r="O261" t="str">
        <f>IF(AND(Table1_1[[#This Row],[Age]]&gt;=60,Table1_1[[#This Row],[Insurance Status]]="Insured"),"senior Eligible","Not Eligible")</f>
        <v>Not Eligible</v>
      </c>
      <c r="P261" t="str">
        <f>IF(OR(Table1_1[[#This Row],[Treatment Cost]]&gt;=20000,Table1_1[[#This Row],[Room Type]]="ICU"),"High Cost","Normal Cost")</f>
        <v>Normal Cost</v>
      </c>
      <c r="Q261" t="str">
        <f>IF(Table1_1[[#This Row],[Age]]&lt;=18,"Child",IF(Table1_1[[#This Row],[Age]]&lt;=59,"Adult",IF(Table1_1[[#This Row],[Age]]&gt;=60,"Senior")))</f>
        <v>Adult</v>
      </c>
    </row>
    <row r="262" spans="1:17" x14ac:dyDescent="0.25">
      <c r="A262" t="s">
        <v>90</v>
      </c>
      <c r="B262" t="s">
        <v>364</v>
      </c>
      <c r="C262" t="s">
        <v>56</v>
      </c>
      <c r="D262">
        <v>38</v>
      </c>
      <c r="E262" t="s">
        <v>35</v>
      </c>
      <c r="F262" t="s">
        <v>36</v>
      </c>
      <c r="G262" t="s">
        <v>352</v>
      </c>
      <c r="H262" s="2">
        <v>46033</v>
      </c>
      <c r="I262" s="2">
        <v>46040</v>
      </c>
      <c r="J262" t="s">
        <v>357</v>
      </c>
      <c r="K262" t="s">
        <v>21</v>
      </c>
      <c r="L262">
        <v>15648</v>
      </c>
      <c r="M262" t="s">
        <v>354</v>
      </c>
      <c r="N262" t="s">
        <v>44</v>
      </c>
      <c r="O262" t="str">
        <f>IF(AND(Table1_1[[#This Row],[Age]]&gt;=60,Table1_1[[#This Row],[Insurance Status]]="Insured"),"senior Eligible","Not Eligible")</f>
        <v>Not Eligible</v>
      </c>
      <c r="P262" t="str">
        <f>IF(OR(Table1_1[[#This Row],[Treatment Cost]]&gt;=20000,Table1_1[[#This Row],[Room Type]]="ICU"),"High Cost","Normal Cost")</f>
        <v>Normal Cost</v>
      </c>
      <c r="Q262" t="str">
        <f>IF(Table1_1[[#This Row],[Age]]&lt;=18,"Child",IF(Table1_1[[#This Row],[Age]]&lt;=59,"Adult",IF(Table1_1[[#This Row],[Age]]&gt;=60,"Senior")))</f>
        <v>Adult</v>
      </c>
    </row>
    <row r="263" spans="1:17" x14ac:dyDescent="0.25">
      <c r="A263" t="s">
        <v>339</v>
      </c>
      <c r="B263" t="s">
        <v>359</v>
      </c>
      <c r="C263" t="s">
        <v>41</v>
      </c>
      <c r="D263">
        <v>19</v>
      </c>
      <c r="E263" t="s">
        <v>35</v>
      </c>
      <c r="F263" t="s">
        <v>36</v>
      </c>
      <c r="G263" t="s">
        <v>360</v>
      </c>
      <c r="H263" s="2">
        <v>46070</v>
      </c>
      <c r="I263" s="2">
        <v>46078</v>
      </c>
      <c r="J263" t="s">
        <v>362</v>
      </c>
      <c r="K263" t="s">
        <v>21</v>
      </c>
      <c r="L263">
        <v>15511</v>
      </c>
      <c r="M263" t="s">
        <v>358</v>
      </c>
      <c r="N263" t="s">
        <v>39</v>
      </c>
      <c r="O263" t="str">
        <f>IF(AND(Table1_1[[#This Row],[Age]]&gt;=60,Table1_1[[#This Row],[Insurance Status]]="Insured"),"senior Eligible","Not Eligible")</f>
        <v>Not Eligible</v>
      </c>
      <c r="P263" t="str">
        <f>IF(OR(Table1_1[[#This Row],[Treatment Cost]]&gt;=20000,Table1_1[[#This Row],[Room Type]]="ICU"),"High Cost","Normal Cost")</f>
        <v>High Cost</v>
      </c>
      <c r="Q263" t="str">
        <f>IF(Table1_1[[#This Row],[Age]]&lt;=18,"Child",IF(Table1_1[[#This Row],[Age]]&lt;=59,"Adult",IF(Table1_1[[#This Row],[Age]]&gt;=60,"Senior")))</f>
        <v>Adult</v>
      </c>
    </row>
    <row r="264" spans="1:17" x14ac:dyDescent="0.25">
      <c r="A264" t="s">
        <v>190</v>
      </c>
      <c r="B264" t="s">
        <v>363</v>
      </c>
      <c r="C264" t="s">
        <v>56</v>
      </c>
      <c r="D264">
        <v>53</v>
      </c>
      <c r="E264" t="s">
        <v>27</v>
      </c>
      <c r="F264" t="s">
        <v>36</v>
      </c>
      <c r="G264" t="s">
        <v>356</v>
      </c>
      <c r="H264" s="2">
        <v>46045</v>
      </c>
      <c r="I264" s="2">
        <v>46050</v>
      </c>
      <c r="J264" t="s">
        <v>357</v>
      </c>
      <c r="K264" t="s">
        <v>31</v>
      </c>
      <c r="L264">
        <v>15431</v>
      </c>
      <c r="M264" t="s">
        <v>354</v>
      </c>
      <c r="N264" t="s">
        <v>39</v>
      </c>
      <c r="O264" t="str">
        <f>IF(AND(Table1_1[[#This Row],[Age]]&gt;=60,Table1_1[[#This Row],[Insurance Status]]="Insured"),"senior Eligible","Not Eligible")</f>
        <v>Not Eligible</v>
      </c>
      <c r="P264" t="str">
        <f>IF(OR(Table1_1[[#This Row],[Treatment Cost]]&gt;=20000,Table1_1[[#This Row],[Room Type]]="ICU"),"High Cost","Normal Cost")</f>
        <v>High Cost</v>
      </c>
      <c r="Q264" t="str">
        <f>IF(Table1_1[[#This Row],[Age]]&lt;=18,"Child",IF(Table1_1[[#This Row],[Age]]&lt;=59,"Adult",IF(Table1_1[[#This Row],[Age]]&gt;=60,"Senior")))</f>
        <v>Adult</v>
      </c>
    </row>
    <row r="265" spans="1:17" x14ac:dyDescent="0.25">
      <c r="A265" t="s">
        <v>305</v>
      </c>
      <c r="B265" t="s">
        <v>363</v>
      </c>
      <c r="C265" t="s">
        <v>56</v>
      </c>
      <c r="D265">
        <v>22</v>
      </c>
      <c r="E265" t="s">
        <v>27</v>
      </c>
      <c r="F265" t="s">
        <v>36</v>
      </c>
      <c r="G265" t="s">
        <v>54</v>
      </c>
      <c r="H265" s="2">
        <v>46077</v>
      </c>
      <c r="I265" s="2">
        <v>46086</v>
      </c>
      <c r="J265" t="s">
        <v>362</v>
      </c>
      <c r="K265" t="s">
        <v>31</v>
      </c>
      <c r="L265">
        <v>14657</v>
      </c>
      <c r="M265" t="s">
        <v>358</v>
      </c>
      <c r="N265" t="s">
        <v>23</v>
      </c>
      <c r="O265" t="str">
        <f>IF(AND(Table1_1[[#This Row],[Age]]&gt;=60,Table1_1[[#This Row],[Insurance Status]]="Insured"),"senior Eligible","Not Eligible")</f>
        <v>Not Eligible</v>
      </c>
      <c r="P265" t="str">
        <f>IF(OR(Table1_1[[#This Row],[Treatment Cost]]&gt;=20000,Table1_1[[#This Row],[Room Type]]="ICU"),"High Cost","Normal Cost")</f>
        <v>Normal Cost</v>
      </c>
      <c r="Q265" t="str">
        <f>IF(Table1_1[[#This Row],[Age]]&lt;=18,"Child",IF(Table1_1[[#This Row],[Age]]&lt;=59,"Adult",IF(Table1_1[[#This Row],[Age]]&gt;=60,"Senior")))</f>
        <v>Adult</v>
      </c>
    </row>
    <row r="266" spans="1:17" x14ac:dyDescent="0.25">
      <c r="A266" t="s">
        <v>232</v>
      </c>
      <c r="B266" t="s">
        <v>363</v>
      </c>
      <c r="C266" t="s">
        <v>41</v>
      </c>
      <c r="D266">
        <v>73</v>
      </c>
      <c r="E266" t="s">
        <v>17</v>
      </c>
      <c r="F266" t="s">
        <v>36</v>
      </c>
      <c r="G266" t="s">
        <v>352</v>
      </c>
      <c r="H266" s="2">
        <v>46068</v>
      </c>
      <c r="I266" s="2">
        <v>46074</v>
      </c>
      <c r="J266" t="s">
        <v>357</v>
      </c>
      <c r="K266" t="s">
        <v>21</v>
      </c>
      <c r="L266">
        <v>14460</v>
      </c>
      <c r="M266" t="s">
        <v>354</v>
      </c>
      <c r="N266" t="s">
        <v>39</v>
      </c>
      <c r="O266" t="str">
        <f>IF(AND(Table1_1[[#This Row],[Age]]&gt;=60,Table1_1[[#This Row],[Insurance Status]]="Insured"),"senior Eligible","Not Eligible")</f>
        <v>Not Eligible</v>
      </c>
      <c r="P266" t="str">
        <f>IF(OR(Table1_1[[#This Row],[Treatment Cost]]&gt;=20000,Table1_1[[#This Row],[Room Type]]="ICU"),"High Cost","Normal Cost")</f>
        <v>High Cost</v>
      </c>
      <c r="Q266" t="str">
        <f>IF(Table1_1[[#This Row],[Age]]&lt;=18,"Child",IF(Table1_1[[#This Row],[Age]]&lt;=59,"Adult",IF(Table1_1[[#This Row],[Age]]&gt;=60,"Senior")))</f>
        <v>Senior</v>
      </c>
    </row>
    <row r="267" spans="1:17" x14ac:dyDescent="0.25">
      <c r="A267" t="s">
        <v>273</v>
      </c>
      <c r="B267" t="s">
        <v>355</v>
      </c>
      <c r="C267" t="s">
        <v>41</v>
      </c>
      <c r="D267">
        <v>56</v>
      </c>
      <c r="E267" t="s">
        <v>27</v>
      </c>
      <c r="F267" t="s">
        <v>36</v>
      </c>
      <c r="G267" t="s">
        <v>54</v>
      </c>
      <c r="H267" s="2">
        <v>46099</v>
      </c>
      <c r="I267" s="2">
        <v>46102</v>
      </c>
      <c r="J267" t="s">
        <v>357</v>
      </c>
      <c r="K267" t="s">
        <v>48</v>
      </c>
      <c r="L267">
        <v>14267</v>
      </c>
      <c r="M267" t="s">
        <v>354</v>
      </c>
      <c r="N267" t="s">
        <v>23</v>
      </c>
      <c r="O267" t="str">
        <f>IF(AND(Table1_1[[#This Row],[Age]]&gt;=60,Table1_1[[#This Row],[Insurance Status]]="Insured"),"senior Eligible","Not Eligible")</f>
        <v>Not Eligible</v>
      </c>
      <c r="P267" t="str">
        <f>IF(OR(Table1_1[[#This Row],[Treatment Cost]]&gt;=20000,Table1_1[[#This Row],[Room Type]]="ICU"),"High Cost","Normal Cost")</f>
        <v>Normal Cost</v>
      </c>
      <c r="Q267" t="str">
        <f>IF(Table1_1[[#This Row],[Age]]&lt;=18,"Child",IF(Table1_1[[#This Row],[Age]]&lt;=59,"Adult",IF(Table1_1[[#This Row],[Age]]&gt;=60,"Senior")))</f>
        <v>Adult</v>
      </c>
    </row>
    <row r="268" spans="1:17" x14ac:dyDescent="0.25">
      <c r="A268" t="s">
        <v>81</v>
      </c>
      <c r="B268" t="s">
        <v>351</v>
      </c>
      <c r="C268" t="s">
        <v>56</v>
      </c>
      <c r="D268">
        <v>19</v>
      </c>
      <c r="E268" t="s">
        <v>27</v>
      </c>
      <c r="F268" t="s">
        <v>36</v>
      </c>
      <c r="G268" t="s">
        <v>54</v>
      </c>
      <c r="H268" s="2">
        <v>46078</v>
      </c>
      <c r="I268" s="2">
        <v>46080</v>
      </c>
      <c r="J268" t="s">
        <v>353</v>
      </c>
      <c r="K268" t="s">
        <v>37</v>
      </c>
      <c r="L268">
        <v>13910</v>
      </c>
      <c r="M268" t="s">
        <v>354</v>
      </c>
      <c r="N268" t="s">
        <v>23</v>
      </c>
      <c r="O268" t="str">
        <f>IF(AND(Table1_1[[#This Row],[Age]]&gt;=60,Table1_1[[#This Row],[Insurance Status]]="Insured"),"senior Eligible","Not Eligible")</f>
        <v>Not Eligible</v>
      </c>
      <c r="P268" t="str">
        <f>IF(OR(Table1_1[[#This Row],[Treatment Cost]]&gt;=20000,Table1_1[[#This Row],[Room Type]]="ICU"),"High Cost","Normal Cost")</f>
        <v>Normal Cost</v>
      </c>
      <c r="Q268" t="str">
        <f>IF(Table1_1[[#This Row],[Age]]&lt;=18,"Child",IF(Table1_1[[#This Row],[Age]]&lt;=59,"Adult",IF(Table1_1[[#This Row],[Age]]&gt;=60,"Senior")))</f>
        <v>Adult</v>
      </c>
    </row>
    <row r="269" spans="1:17" x14ac:dyDescent="0.25">
      <c r="A269" t="s">
        <v>195</v>
      </c>
      <c r="B269" t="s">
        <v>359</v>
      </c>
      <c r="C269" t="s">
        <v>56</v>
      </c>
      <c r="D269">
        <v>28</v>
      </c>
      <c r="E269" t="s">
        <v>17</v>
      </c>
      <c r="F269" t="s">
        <v>36</v>
      </c>
      <c r="G269" t="s">
        <v>356</v>
      </c>
      <c r="H269" s="2">
        <v>46091</v>
      </c>
      <c r="I269" s="2">
        <v>46100</v>
      </c>
      <c r="J269" t="s">
        <v>357</v>
      </c>
      <c r="K269" t="s">
        <v>31</v>
      </c>
      <c r="L269">
        <v>13715</v>
      </c>
      <c r="M269" t="s">
        <v>358</v>
      </c>
      <c r="N269" t="s">
        <v>44</v>
      </c>
      <c r="O269" t="str">
        <f>IF(AND(Table1_1[[#This Row],[Age]]&gt;=60,Table1_1[[#This Row],[Insurance Status]]="Insured"),"senior Eligible","Not Eligible")</f>
        <v>Not Eligible</v>
      </c>
      <c r="P269" t="str">
        <f>IF(OR(Table1_1[[#This Row],[Treatment Cost]]&gt;=20000,Table1_1[[#This Row],[Room Type]]="ICU"),"High Cost","Normal Cost")</f>
        <v>Normal Cost</v>
      </c>
      <c r="Q269" t="str">
        <f>IF(Table1_1[[#This Row],[Age]]&lt;=18,"Child",IF(Table1_1[[#This Row],[Age]]&lt;=59,"Adult",IF(Table1_1[[#This Row],[Age]]&gt;=60,"Senior")))</f>
        <v>Adult</v>
      </c>
    </row>
    <row r="270" spans="1:17" x14ac:dyDescent="0.25">
      <c r="A270" t="s">
        <v>285</v>
      </c>
      <c r="B270" t="s">
        <v>364</v>
      </c>
      <c r="C270" t="s">
        <v>41</v>
      </c>
      <c r="D270">
        <v>46</v>
      </c>
      <c r="E270" t="s">
        <v>35</v>
      </c>
      <c r="F270" t="s">
        <v>36</v>
      </c>
      <c r="G270" t="s">
        <v>356</v>
      </c>
      <c r="H270" s="2">
        <v>46185</v>
      </c>
      <c r="I270" s="2">
        <v>46188</v>
      </c>
      <c r="J270" t="s">
        <v>357</v>
      </c>
      <c r="K270" t="s">
        <v>21</v>
      </c>
      <c r="L270">
        <v>13526</v>
      </c>
      <c r="M270" t="s">
        <v>354</v>
      </c>
      <c r="N270" t="s">
        <v>39</v>
      </c>
      <c r="O270" t="str">
        <f>IF(AND(Table1_1[[#This Row],[Age]]&gt;=60,Table1_1[[#This Row],[Insurance Status]]="Insured"),"senior Eligible","Not Eligible")</f>
        <v>Not Eligible</v>
      </c>
      <c r="P270" t="str">
        <f>IF(OR(Table1_1[[#This Row],[Treatment Cost]]&gt;=20000,Table1_1[[#This Row],[Room Type]]="ICU"),"High Cost","Normal Cost")</f>
        <v>High Cost</v>
      </c>
      <c r="Q270" t="str">
        <f>IF(Table1_1[[#This Row],[Age]]&lt;=18,"Child",IF(Table1_1[[#This Row],[Age]]&lt;=59,"Adult",IF(Table1_1[[#This Row],[Age]]&gt;=60,"Senior")))</f>
        <v>Adult</v>
      </c>
    </row>
    <row r="271" spans="1:17" x14ac:dyDescent="0.25">
      <c r="A271" t="s">
        <v>302</v>
      </c>
      <c r="B271" t="s">
        <v>364</v>
      </c>
      <c r="C271" t="s">
        <v>56</v>
      </c>
      <c r="D271">
        <v>43</v>
      </c>
      <c r="E271" t="s">
        <v>17</v>
      </c>
      <c r="F271" t="s">
        <v>36</v>
      </c>
      <c r="G271" t="s">
        <v>54</v>
      </c>
      <c r="H271" s="2">
        <v>46158</v>
      </c>
      <c r="I271" s="2">
        <v>46162</v>
      </c>
      <c r="J271" t="s">
        <v>357</v>
      </c>
      <c r="K271" t="s">
        <v>31</v>
      </c>
      <c r="L271">
        <v>12644</v>
      </c>
      <c r="M271" t="s">
        <v>354</v>
      </c>
      <c r="N271" t="s">
        <v>39</v>
      </c>
      <c r="O271" t="str">
        <f>IF(AND(Table1_1[[#This Row],[Age]]&gt;=60,Table1_1[[#This Row],[Insurance Status]]="Insured"),"senior Eligible","Not Eligible")</f>
        <v>Not Eligible</v>
      </c>
      <c r="P271" t="str">
        <f>IF(OR(Table1_1[[#This Row],[Treatment Cost]]&gt;=20000,Table1_1[[#This Row],[Room Type]]="ICU"),"High Cost","Normal Cost")</f>
        <v>High Cost</v>
      </c>
      <c r="Q271" t="str">
        <f>IF(Table1_1[[#This Row],[Age]]&lt;=18,"Child",IF(Table1_1[[#This Row],[Age]]&lt;=59,"Adult",IF(Table1_1[[#This Row],[Age]]&gt;=60,"Senior")))</f>
        <v>Adult</v>
      </c>
    </row>
    <row r="272" spans="1:17" x14ac:dyDescent="0.25">
      <c r="A272" t="s">
        <v>236</v>
      </c>
      <c r="B272" t="s">
        <v>351</v>
      </c>
      <c r="C272" t="s">
        <v>41</v>
      </c>
      <c r="D272">
        <v>59</v>
      </c>
      <c r="E272" t="s">
        <v>27</v>
      </c>
      <c r="F272" t="s">
        <v>36</v>
      </c>
      <c r="G272" t="s">
        <v>54</v>
      </c>
      <c r="H272" s="2">
        <v>46109</v>
      </c>
      <c r="I272" s="2">
        <v>46110</v>
      </c>
      <c r="J272" t="s">
        <v>357</v>
      </c>
      <c r="K272" t="s">
        <v>21</v>
      </c>
      <c r="L272">
        <v>12199</v>
      </c>
      <c r="M272" t="s">
        <v>358</v>
      </c>
      <c r="N272" t="s">
        <v>23</v>
      </c>
      <c r="O272" t="str">
        <f>IF(AND(Table1_1[[#This Row],[Age]]&gt;=60,Table1_1[[#This Row],[Insurance Status]]="Insured"),"senior Eligible","Not Eligible")</f>
        <v>Not Eligible</v>
      </c>
      <c r="P272" t="str">
        <f>IF(OR(Table1_1[[#This Row],[Treatment Cost]]&gt;=20000,Table1_1[[#This Row],[Room Type]]="ICU"),"High Cost","Normal Cost")</f>
        <v>Normal Cost</v>
      </c>
      <c r="Q272" t="str">
        <f>IF(Table1_1[[#This Row],[Age]]&lt;=18,"Child",IF(Table1_1[[#This Row],[Age]]&lt;=59,"Adult",IF(Table1_1[[#This Row],[Age]]&gt;=60,"Senior")))</f>
        <v>Adult</v>
      </c>
    </row>
    <row r="273" spans="1:17" x14ac:dyDescent="0.25">
      <c r="A273" t="s">
        <v>336</v>
      </c>
      <c r="B273" t="s">
        <v>359</v>
      </c>
      <c r="C273" t="s">
        <v>41</v>
      </c>
      <c r="D273">
        <v>53</v>
      </c>
      <c r="E273" t="s">
        <v>17</v>
      </c>
      <c r="F273" t="s">
        <v>36</v>
      </c>
      <c r="G273" t="s">
        <v>356</v>
      </c>
      <c r="H273" s="2">
        <v>46129</v>
      </c>
      <c r="I273" s="2">
        <v>46138</v>
      </c>
      <c r="J273" t="s">
        <v>362</v>
      </c>
      <c r="K273" t="s">
        <v>37</v>
      </c>
      <c r="L273">
        <v>11844</v>
      </c>
      <c r="M273" t="s">
        <v>358</v>
      </c>
      <c r="N273" t="s">
        <v>44</v>
      </c>
      <c r="O273" t="str">
        <f>IF(AND(Table1_1[[#This Row],[Age]]&gt;=60,Table1_1[[#This Row],[Insurance Status]]="Insured"),"senior Eligible","Not Eligible")</f>
        <v>Not Eligible</v>
      </c>
      <c r="P273" t="str">
        <f>IF(OR(Table1_1[[#This Row],[Treatment Cost]]&gt;=20000,Table1_1[[#This Row],[Room Type]]="ICU"),"High Cost","Normal Cost")</f>
        <v>Normal Cost</v>
      </c>
      <c r="Q273" t="str">
        <f>IF(Table1_1[[#This Row],[Age]]&lt;=18,"Child",IF(Table1_1[[#This Row],[Age]]&lt;=59,"Adult",IF(Table1_1[[#This Row],[Age]]&gt;=60,"Senior")))</f>
        <v>Adult</v>
      </c>
    </row>
    <row r="274" spans="1:17" x14ac:dyDescent="0.25">
      <c r="A274" t="s">
        <v>213</v>
      </c>
      <c r="B274" t="s">
        <v>364</v>
      </c>
      <c r="C274" t="s">
        <v>56</v>
      </c>
      <c r="D274">
        <v>31</v>
      </c>
      <c r="E274" t="s">
        <v>35</v>
      </c>
      <c r="F274" t="s">
        <v>36</v>
      </c>
      <c r="G274" t="s">
        <v>356</v>
      </c>
      <c r="H274" s="2">
        <v>46041</v>
      </c>
      <c r="I274" s="2">
        <v>46042</v>
      </c>
      <c r="J274" t="s">
        <v>357</v>
      </c>
      <c r="K274" t="s">
        <v>48</v>
      </c>
      <c r="L274">
        <v>11521</v>
      </c>
      <c r="M274" t="s">
        <v>354</v>
      </c>
      <c r="N274" t="s">
        <v>44</v>
      </c>
      <c r="O274" t="str">
        <f>IF(AND(Table1_1[[#This Row],[Age]]&gt;=60,Table1_1[[#This Row],[Insurance Status]]="Insured"),"senior Eligible","Not Eligible")</f>
        <v>Not Eligible</v>
      </c>
      <c r="P274" t="str">
        <f>IF(OR(Table1_1[[#This Row],[Treatment Cost]]&gt;=20000,Table1_1[[#This Row],[Room Type]]="ICU"),"High Cost","Normal Cost")</f>
        <v>Normal Cost</v>
      </c>
      <c r="Q274" t="str">
        <f>IF(Table1_1[[#This Row],[Age]]&lt;=18,"Child",IF(Table1_1[[#This Row],[Age]]&lt;=59,"Adult",IF(Table1_1[[#This Row],[Age]]&gt;=60,"Senior")))</f>
        <v>Adult</v>
      </c>
    </row>
    <row r="275" spans="1:17" x14ac:dyDescent="0.25">
      <c r="A275" t="s">
        <v>270</v>
      </c>
      <c r="B275" t="s">
        <v>359</v>
      </c>
      <c r="C275" t="s">
        <v>41</v>
      </c>
      <c r="D275">
        <v>39</v>
      </c>
      <c r="E275" t="s">
        <v>47</v>
      </c>
      <c r="F275" t="s">
        <v>36</v>
      </c>
      <c r="G275" t="s">
        <v>360</v>
      </c>
      <c r="H275" s="2">
        <v>46044</v>
      </c>
      <c r="I275" s="2">
        <v>46051</v>
      </c>
      <c r="J275" t="s">
        <v>362</v>
      </c>
      <c r="K275" t="s">
        <v>31</v>
      </c>
      <c r="L275">
        <v>9842</v>
      </c>
      <c r="M275" t="s">
        <v>358</v>
      </c>
      <c r="N275" t="s">
        <v>23</v>
      </c>
      <c r="O275" t="str">
        <f>IF(AND(Table1_1[[#This Row],[Age]]&gt;=60,Table1_1[[#This Row],[Insurance Status]]="Insured"),"senior Eligible","Not Eligible")</f>
        <v>Not Eligible</v>
      </c>
      <c r="P275" t="str">
        <f>IF(OR(Table1_1[[#This Row],[Treatment Cost]]&gt;=20000,Table1_1[[#This Row],[Room Type]]="ICU"),"High Cost","Normal Cost")</f>
        <v>Normal Cost</v>
      </c>
      <c r="Q275" t="str">
        <f>IF(Table1_1[[#This Row],[Age]]&lt;=18,"Child",IF(Table1_1[[#This Row],[Age]]&lt;=59,"Adult",IF(Table1_1[[#This Row],[Age]]&gt;=60,"Senior")))</f>
        <v>Adult</v>
      </c>
    </row>
    <row r="276" spans="1:17" x14ac:dyDescent="0.25">
      <c r="A276" t="s">
        <v>221</v>
      </c>
      <c r="B276" t="s">
        <v>359</v>
      </c>
      <c r="C276" t="s">
        <v>41</v>
      </c>
      <c r="D276">
        <v>23</v>
      </c>
      <c r="E276" t="s">
        <v>47</v>
      </c>
      <c r="F276" t="s">
        <v>36</v>
      </c>
      <c r="G276" t="s">
        <v>360</v>
      </c>
      <c r="H276" s="2">
        <v>46150</v>
      </c>
      <c r="I276" s="2">
        <v>46157</v>
      </c>
      <c r="J276" t="s">
        <v>353</v>
      </c>
      <c r="K276" t="s">
        <v>48</v>
      </c>
      <c r="L276">
        <v>9834</v>
      </c>
      <c r="M276" t="s">
        <v>358</v>
      </c>
      <c r="N276" t="s">
        <v>23</v>
      </c>
      <c r="O276" t="str">
        <f>IF(AND(Table1_1[[#This Row],[Age]]&gt;=60,Table1_1[[#This Row],[Insurance Status]]="Insured"),"senior Eligible","Not Eligible")</f>
        <v>Not Eligible</v>
      </c>
      <c r="P276" t="str">
        <f>IF(OR(Table1_1[[#This Row],[Treatment Cost]]&gt;=20000,Table1_1[[#This Row],[Room Type]]="ICU"),"High Cost","Normal Cost")</f>
        <v>Normal Cost</v>
      </c>
      <c r="Q276" t="str">
        <f>IF(Table1_1[[#This Row],[Age]]&lt;=18,"Child",IF(Table1_1[[#This Row],[Age]]&lt;=59,"Adult",IF(Table1_1[[#This Row],[Age]]&gt;=60,"Senior")))</f>
        <v>Adult</v>
      </c>
    </row>
    <row r="277" spans="1:17" x14ac:dyDescent="0.25">
      <c r="A277" t="s">
        <v>99</v>
      </c>
      <c r="B277" t="s">
        <v>355</v>
      </c>
      <c r="C277" t="s">
        <v>56</v>
      </c>
      <c r="D277">
        <v>45</v>
      </c>
      <c r="E277" t="s">
        <v>35</v>
      </c>
      <c r="F277" t="s">
        <v>36</v>
      </c>
      <c r="G277" t="s">
        <v>360</v>
      </c>
      <c r="H277" s="2">
        <v>46053</v>
      </c>
      <c r="I277" s="2">
        <v>46063</v>
      </c>
      <c r="J277" t="s">
        <v>357</v>
      </c>
      <c r="K277" t="s">
        <v>48</v>
      </c>
      <c r="L277">
        <v>9246</v>
      </c>
      <c r="M277" t="s">
        <v>354</v>
      </c>
      <c r="N277" t="s">
        <v>44</v>
      </c>
      <c r="O277" t="str">
        <f>IF(AND(Table1_1[[#This Row],[Age]]&gt;=60,Table1_1[[#This Row],[Insurance Status]]="Insured"),"senior Eligible","Not Eligible")</f>
        <v>Not Eligible</v>
      </c>
      <c r="P277" t="str">
        <f>IF(OR(Table1_1[[#This Row],[Treatment Cost]]&gt;=20000,Table1_1[[#This Row],[Room Type]]="ICU"),"High Cost","Normal Cost")</f>
        <v>Normal Cost</v>
      </c>
      <c r="Q277" t="str">
        <f>IF(Table1_1[[#This Row],[Age]]&lt;=18,"Child",IF(Table1_1[[#This Row],[Age]]&lt;=59,"Adult",IF(Table1_1[[#This Row],[Age]]&gt;=60,"Senior")))</f>
        <v>Adult</v>
      </c>
    </row>
    <row r="278" spans="1:17" x14ac:dyDescent="0.25">
      <c r="A278" t="s">
        <v>86</v>
      </c>
      <c r="B278" t="s">
        <v>363</v>
      </c>
      <c r="C278" t="s">
        <v>56</v>
      </c>
      <c r="D278">
        <v>27</v>
      </c>
      <c r="E278" t="s">
        <v>27</v>
      </c>
      <c r="F278" t="s">
        <v>36</v>
      </c>
      <c r="G278" t="s">
        <v>360</v>
      </c>
      <c r="H278" s="2">
        <v>46039</v>
      </c>
      <c r="I278" s="2">
        <v>46041</v>
      </c>
      <c r="J278" t="s">
        <v>362</v>
      </c>
      <c r="K278" t="s">
        <v>48</v>
      </c>
      <c r="L278">
        <v>8519</v>
      </c>
      <c r="M278" t="s">
        <v>358</v>
      </c>
      <c r="N278" t="s">
        <v>23</v>
      </c>
      <c r="O278" t="str">
        <f>IF(AND(Table1_1[[#This Row],[Age]]&gt;=60,Table1_1[[#This Row],[Insurance Status]]="Insured"),"senior Eligible","Not Eligible")</f>
        <v>Not Eligible</v>
      </c>
      <c r="P278" t="str">
        <f>IF(OR(Table1_1[[#This Row],[Treatment Cost]]&gt;=20000,Table1_1[[#This Row],[Room Type]]="ICU"),"High Cost","Normal Cost")</f>
        <v>Normal Cost</v>
      </c>
      <c r="Q278" t="str">
        <f>IF(Table1_1[[#This Row],[Age]]&lt;=18,"Child",IF(Table1_1[[#This Row],[Age]]&lt;=59,"Adult",IF(Table1_1[[#This Row],[Age]]&gt;=60,"Senior")))</f>
        <v>Adult</v>
      </c>
    </row>
    <row r="279" spans="1:17" x14ac:dyDescent="0.25">
      <c r="A279" t="s">
        <v>100</v>
      </c>
      <c r="B279" t="s">
        <v>364</v>
      </c>
      <c r="C279" t="s">
        <v>56</v>
      </c>
      <c r="D279">
        <v>80</v>
      </c>
      <c r="E279" t="s">
        <v>35</v>
      </c>
      <c r="F279" t="s">
        <v>36</v>
      </c>
      <c r="G279" t="s">
        <v>356</v>
      </c>
      <c r="H279" s="2">
        <v>46063</v>
      </c>
      <c r="I279" s="2">
        <v>46067</v>
      </c>
      <c r="J279" t="s">
        <v>362</v>
      </c>
      <c r="K279" t="s">
        <v>21</v>
      </c>
      <c r="L279">
        <v>8227</v>
      </c>
      <c r="M279" t="s">
        <v>358</v>
      </c>
      <c r="N279" t="s">
        <v>23</v>
      </c>
      <c r="O279" t="str">
        <f>IF(AND(Table1_1[[#This Row],[Age]]&gt;=60,Table1_1[[#This Row],[Insurance Status]]="Insured"),"senior Eligible","Not Eligible")</f>
        <v>senior Eligible</v>
      </c>
      <c r="P279" t="str">
        <f>IF(OR(Table1_1[[#This Row],[Treatment Cost]]&gt;=20000,Table1_1[[#This Row],[Room Type]]="ICU"),"High Cost","Normal Cost")</f>
        <v>Normal Cost</v>
      </c>
      <c r="Q279" t="str">
        <f>IF(Table1_1[[#This Row],[Age]]&lt;=18,"Child",IF(Table1_1[[#This Row],[Age]]&lt;=59,"Adult",IF(Table1_1[[#This Row],[Age]]&gt;=60,"Senior")))</f>
        <v>Senior</v>
      </c>
    </row>
    <row r="280" spans="1:17" x14ac:dyDescent="0.25">
      <c r="A280" t="s">
        <v>227</v>
      </c>
      <c r="B280" t="s">
        <v>363</v>
      </c>
      <c r="C280" t="s">
        <v>56</v>
      </c>
      <c r="D280">
        <v>77</v>
      </c>
      <c r="E280" t="s">
        <v>17</v>
      </c>
      <c r="F280" t="s">
        <v>36</v>
      </c>
      <c r="G280" t="s">
        <v>356</v>
      </c>
      <c r="H280" s="2">
        <v>46186</v>
      </c>
      <c r="I280" s="2">
        <v>46191</v>
      </c>
      <c r="J280" t="s">
        <v>353</v>
      </c>
      <c r="K280" t="s">
        <v>21</v>
      </c>
      <c r="L280">
        <v>8150</v>
      </c>
      <c r="M280" t="s">
        <v>358</v>
      </c>
      <c r="N280" t="s">
        <v>39</v>
      </c>
      <c r="O280" t="str">
        <f>IF(AND(Table1_1[[#This Row],[Age]]&gt;=60,Table1_1[[#This Row],[Insurance Status]]="Insured"),"senior Eligible","Not Eligible")</f>
        <v>senior Eligible</v>
      </c>
      <c r="P280" t="str">
        <f>IF(OR(Table1_1[[#This Row],[Treatment Cost]]&gt;=20000,Table1_1[[#This Row],[Room Type]]="ICU"),"High Cost","Normal Cost")</f>
        <v>High Cost</v>
      </c>
      <c r="Q280" t="str">
        <f>IF(Table1_1[[#This Row],[Age]]&lt;=18,"Child",IF(Table1_1[[#This Row],[Age]]&lt;=59,"Adult",IF(Table1_1[[#This Row],[Age]]&gt;=60,"Senior")))</f>
        <v>Senior</v>
      </c>
    </row>
    <row r="281" spans="1:17" x14ac:dyDescent="0.25">
      <c r="A281" t="s">
        <v>250</v>
      </c>
      <c r="B281" t="s">
        <v>359</v>
      </c>
      <c r="C281" t="s">
        <v>56</v>
      </c>
      <c r="D281">
        <v>69</v>
      </c>
      <c r="E281" t="s">
        <v>17</v>
      </c>
      <c r="F281" t="s">
        <v>36</v>
      </c>
      <c r="G281" t="s">
        <v>360</v>
      </c>
      <c r="H281" s="2">
        <v>46181</v>
      </c>
      <c r="I281" s="2">
        <v>46188</v>
      </c>
      <c r="J281" t="s">
        <v>362</v>
      </c>
      <c r="K281" t="s">
        <v>37</v>
      </c>
      <c r="L281">
        <v>8061</v>
      </c>
      <c r="M281" t="s">
        <v>354</v>
      </c>
      <c r="N281" t="s">
        <v>23</v>
      </c>
      <c r="O281" t="str">
        <f>IF(AND(Table1_1[[#This Row],[Age]]&gt;=60,Table1_1[[#This Row],[Insurance Status]]="Insured"),"senior Eligible","Not Eligible")</f>
        <v>Not Eligible</v>
      </c>
      <c r="P281" t="str">
        <f>IF(OR(Table1_1[[#This Row],[Treatment Cost]]&gt;=20000,Table1_1[[#This Row],[Room Type]]="ICU"),"High Cost","Normal Cost")</f>
        <v>Normal Cost</v>
      </c>
      <c r="Q281" t="str">
        <f>IF(Table1_1[[#This Row],[Age]]&lt;=18,"Child",IF(Table1_1[[#This Row],[Age]]&lt;=59,"Adult",IF(Table1_1[[#This Row],[Age]]&gt;=60,"Senior")))</f>
        <v>Senior</v>
      </c>
    </row>
    <row r="282" spans="1:17" x14ac:dyDescent="0.25">
      <c r="A282" t="s">
        <v>183</v>
      </c>
      <c r="B282" t="s">
        <v>355</v>
      </c>
      <c r="C282" t="s">
        <v>56</v>
      </c>
      <c r="D282">
        <v>23</v>
      </c>
      <c r="E282" t="s">
        <v>27</v>
      </c>
      <c r="F282" t="s">
        <v>36</v>
      </c>
      <c r="G282" t="s">
        <v>54</v>
      </c>
      <c r="H282" s="2">
        <v>46151</v>
      </c>
      <c r="I282" s="2">
        <v>46161</v>
      </c>
      <c r="J282" t="s">
        <v>353</v>
      </c>
      <c r="K282" t="s">
        <v>31</v>
      </c>
      <c r="L282">
        <v>7634</v>
      </c>
      <c r="M282" t="s">
        <v>354</v>
      </c>
      <c r="N282" t="s">
        <v>23</v>
      </c>
      <c r="O282" t="str">
        <f>IF(AND(Table1_1[[#This Row],[Age]]&gt;=60,Table1_1[[#This Row],[Insurance Status]]="Insured"),"senior Eligible","Not Eligible")</f>
        <v>Not Eligible</v>
      </c>
      <c r="P282" t="str">
        <f>IF(OR(Table1_1[[#This Row],[Treatment Cost]]&gt;=20000,Table1_1[[#This Row],[Room Type]]="ICU"),"High Cost","Normal Cost")</f>
        <v>Normal Cost</v>
      </c>
      <c r="Q282" t="str">
        <f>IF(Table1_1[[#This Row],[Age]]&lt;=18,"Child",IF(Table1_1[[#This Row],[Age]]&lt;=59,"Adult",IF(Table1_1[[#This Row],[Age]]&gt;=60,"Senior")))</f>
        <v>Adult</v>
      </c>
    </row>
    <row r="283" spans="1:17" x14ac:dyDescent="0.25">
      <c r="A283" t="s">
        <v>70</v>
      </c>
      <c r="B283" t="s">
        <v>364</v>
      </c>
      <c r="C283" t="s">
        <v>56</v>
      </c>
      <c r="D283">
        <v>54</v>
      </c>
      <c r="E283" t="s">
        <v>17</v>
      </c>
      <c r="F283" t="s">
        <v>36</v>
      </c>
      <c r="G283" t="s">
        <v>356</v>
      </c>
      <c r="H283" s="2">
        <v>46090</v>
      </c>
      <c r="I283" s="2">
        <v>46094</v>
      </c>
      <c r="J283" t="s">
        <v>357</v>
      </c>
      <c r="K283" t="s">
        <v>48</v>
      </c>
      <c r="L283">
        <v>7428</v>
      </c>
      <c r="M283" t="s">
        <v>354</v>
      </c>
      <c r="N283" t="s">
        <v>44</v>
      </c>
      <c r="O283" t="str">
        <f>IF(AND(Table1_1[[#This Row],[Age]]&gt;=60,Table1_1[[#This Row],[Insurance Status]]="Insured"),"senior Eligible","Not Eligible")</f>
        <v>Not Eligible</v>
      </c>
      <c r="P283" t="str">
        <f>IF(OR(Table1_1[[#This Row],[Treatment Cost]]&gt;=20000,Table1_1[[#This Row],[Room Type]]="ICU"),"High Cost","Normal Cost")</f>
        <v>Normal Cost</v>
      </c>
      <c r="Q283" t="str">
        <f>IF(Table1_1[[#This Row],[Age]]&lt;=18,"Child",IF(Table1_1[[#This Row],[Age]]&lt;=59,"Adult",IF(Table1_1[[#This Row],[Age]]&gt;=60,"Senior")))</f>
        <v>Adult</v>
      </c>
    </row>
    <row r="284" spans="1:17" x14ac:dyDescent="0.25">
      <c r="A284" t="s">
        <v>151</v>
      </c>
      <c r="B284" t="s">
        <v>363</v>
      </c>
      <c r="C284" t="s">
        <v>56</v>
      </c>
      <c r="D284">
        <v>29</v>
      </c>
      <c r="E284" t="s">
        <v>27</v>
      </c>
      <c r="F284" t="s">
        <v>36</v>
      </c>
      <c r="G284" t="s">
        <v>352</v>
      </c>
      <c r="H284" s="2">
        <v>46093</v>
      </c>
      <c r="I284" s="2">
        <v>46097</v>
      </c>
      <c r="J284" t="s">
        <v>357</v>
      </c>
      <c r="K284" t="s">
        <v>31</v>
      </c>
      <c r="L284">
        <v>7391</v>
      </c>
      <c r="M284" t="s">
        <v>354</v>
      </c>
      <c r="N284" t="s">
        <v>39</v>
      </c>
      <c r="O284" t="str">
        <f>IF(AND(Table1_1[[#This Row],[Age]]&gt;=60,Table1_1[[#This Row],[Insurance Status]]="Insured"),"senior Eligible","Not Eligible")</f>
        <v>Not Eligible</v>
      </c>
      <c r="P284" t="str">
        <f>IF(OR(Table1_1[[#This Row],[Treatment Cost]]&gt;=20000,Table1_1[[#This Row],[Room Type]]="ICU"),"High Cost","Normal Cost")</f>
        <v>High Cost</v>
      </c>
      <c r="Q284" t="str">
        <f>IF(Table1_1[[#This Row],[Age]]&lt;=18,"Child",IF(Table1_1[[#This Row],[Age]]&lt;=59,"Adult",IF(Table1_1[[#This Row],[Age]]&gt;=60,"Senior")))</f>
        <v>Adult</v>
      </c>
    </row>
    <row r="285" spans="1:17" x14ac:dyDescent="0.25">
      <c r="A285" t="s">
        <v>45</v>
      </c>
      <c r="B285" t="s">
        <v>359</v>
      </c>
      <c r="C285" t="s">
        <v>41</v>
      </c>
      <c r="D285">
        <v>40</v>
      </c>
      <c r="E285" t="s">
        <v>47</v>
      </c>
      <c r="F285" t="s">
        <v>36</v>
      </c>
      <c r="G285" t="s">
        <v>356</v>
      </c>
      <c r="H285" s="2">
        <v>46117</v>
      </c>
      <c r="I285" s="2">
        <v>46122</v>
      </c>
      <c r="J285" t="s">
        <v>357</v>
      </c>
      <c r="K285" t="s">
        <v>48</v>
      </c>
      <c r="L285">
        <v>7167</v>
      </c>
      <c r="M285" t="s">
        <v>358</v>
      </c>
      <c r="N285" t="s">
        <v>44</v>
      </c>
      <c r="O285" t="str">
        <f>IF(AND(Table1_1[[#This Row],[Age]]&gt;=60,Table1_1[[#This Row],[Insurance Status]]="Insured"),"senior Eligible","Not Eligible")</f>
        <v>Not Eligible</v>
      </c>
      <c r="P285" t="str">
        <f>IF(OR(Table1_1[[#This Row],[Treatment Cost]]&gt;=20000,Table1_1[[#This Row],[Room Type]]="ICU"),"High Cost","Normal Cost")</f>
        <v>Normal Cost</v>
      </c>
      <c r="Q285" t="str">
        <f>IF(Table1_1[[#This Row],[Age]]&lt;=18,"Child",IF(Table1_1[[#This Row],[Age]]&lt;=59,"Adult",IF(Table1_1[[#This Row],[Age]]&gt;=60,"Senior")))</f>
        <v>Adult</v>
      </c>
    </row>
    <row r="286" spans="1:17" x14ac:dyDescent="0.25">
      <c r="A286" t="s">
        <v>122</v>
      </c>
      <c r="B286" t="s">
        <v>355</v>
      </c>
      <c r="C286" t="s">
        <v>56</v>
      </c>
      <c r="D286">
        <v>54</v>
      </c>
      <c r="E286" t="s">
        <v>47</v>
      </c>
      <c r="F286" t="s">
        <v>36</v>
      </c>
      <c r="G286" t="s">
        <v>54</v>
      </c>
      <c r="H286" s="2">
        <v>46094</v>
      </c>
      <c r="I286" s="2">
        <v>46096</v>
      </c>
      <c r="J286" t="s">
        <v>353</v>
      </c>
      <c r="K286" t="s">
        <v>37</v>
      </c>
      <c r="L286">
        <v>6764</v>
      </c>
      <c r="M286" t="s">
        <v>354</v>
      </c>
      <c r="N286" t="s">
        <v>44</v>
      </c>
      <c r="O286" t="str">
        <f>IF(AND(Table1_1[[#This Row],[Age]]&gt;=60,Table1_1[[#This Row],[Insurance Status]]="Insured"),"senior Eligible","Not Eligible")</f>
        <v>Not Eligible</v>
      </c>
      <c r="P286" t="str">
        <f>IF(OR(Table1_1[[#This Row],[Treatment Cost]]&gt;=20000,Table1_1[[#This Row],[Room Type]]="ICU"),"High Cost","Normal Cost")</f>
        <v>Normal Cost</v>
      </c>
      <c r="Q286" t="str">
        <f>IF(Table1_1[[#This Row],[Age]]&lt;=18,"Child",IF(Table1_1[[#This Row],[Age]]&lt;=59,"Adult",IF(Table1_1[[#This Row],[Age]]&gt;=60,"Senior")))</f>
        <v>Adult</v>
      </c>
    </row>
    <row r="287" spans="1:17" x14ac:dyDescent="0.25">
      <c r="A287" t="s">
        <v>258</v>
      </c>
      <c r="B287" t="s">
        <v>351</v>
      </c>
      <c r="C287" t="s">
        <v>41</v>
      </c>
      <c r="D287">
        <v>42</v>
      </c>
      <c r="E287" t="s">
        <v>47</v>
      </c>
      <c r="F287" t="s">
        <v>36</v>
      </c>
      <c r="G287" t="s">
        <v>360</v>
      </c>
      <c r="H287" s="2">
        <v>46165</v>
      </c>
      <c r="I287" s="2">
        <v>46166</v>
      </c>
      <c r="J287" t="s">
        <v>353</v>
      </c>
      <c r="K287" t="s">
        <v>37</v>
      </c>
      <c r="L287">
        <v>6651</v>
      </c>
      <c r="M287" t="s">
        <v>354</v>
      </c>
      <c r="N287" t="s">
        <v>23</v>
      </c>
      <c r="O287" t="str">
        <f>IF(AND(Table1_1[[#This Row],[Age]]&gt;=60,Table1_1[[#This Row],[Insurance Status]]="Insured"),"senior Eligible","Not Eligible")</f>
        <v>Not Eligible</v>
      </c>
      <c r="P287" t="str">
        <f>IF(OR(Table1_1[[#This Row],[Treatment Cost]]&gt;=20000,Table1_1[[#This Row],[Room Type]]="ICU"),"High Cost","Normal Cost")</f>
        <v>Normal Cost</v>
      </c>
      <c r="Q287" t="str">
        <f>IF(Table1_1[[#This Row],[Age]]&lt;=18,"Child",IF(Table1_1[[#This Row],[Age]]&lt;=59,"Adult",IF(Table1_1[[#This Row],[Age]]&gt;=60,"Senior")))</f>
        <v>Adult</v>
      </c>
    </row>
    <row r="288" spans="1:17" x14ac:dyDescent="0.25">
      <c r="A288" t="s">
        <v>149</v>
      </c>
      <c r="B288" t="s">
        <v>351</v>
      </c>
      <c r="C288" t="s">
        <v>56</v>
      </c>
      <c r="D288">
        <v>57</v>
      </c>
      <c r="E288" t="s">
        <v>27</v>
      </c>
      <c r="F288" t="s">
        <v>36</v>
      </c>
      <c r="G288" t="s">
        <v>360</v>
      </c>
      <c r="H288" s="2">
        <v>46088</v>
      </c>
      <c r="I288" s="2">
        <v>46096</v>
      </c>
      <c r="J288" t="s">
        <v>357</v>
      </c>
      <c r="K288" t="s">
        <v>21</v>
      </c>
      <c r="L288">
        <v>6624</v>
      </c>
      <c r="M288" t="s">
        <v>354</v>
      </c>
      <c r="N288" t="s">
        <v>39</v>
      </c>
      <c r="O288" t="str">
        <f>IF(AND(Table1_1[[#This Row],[Age]]&gt;=60,Table1_1[[#This Row],[Insurance Status]]="Insured"),"senior Eligible","Not Eligible")</f>
        <v>Not Eligible</v>
      </c>
      <c r="P288" t="str">
        <f>IF(OR(Table1_1[[#This Row],[Treatment Cost]]&gt;=20000,Table1_1[[#This Row],[Room Type]]="ICU"),"High Cost","Normal Cost")</f>
        <v>High Cost</v>
      </c>
      <c r="Q288" t="str">
        <f>IF(Table1_1[[#This Row],[Age]]&lt;=18,"Child",IF(Table1_1[[#This Row],[Age]]&lt;=59,"Adult",IF(Table1_1[[#This Row],[Age]]&gt;=60,"Senior")))</f>
        <v>Adult</v>
      </c>
    </row>
    <row r="289" spans="1:17" x14ac:dyDescent="0.25">
      <c r="A289" t="s">
        <v>79</v>
      </c>
      <c r="B289" t="s">
        <v>364</v>
      </c>
      <c r="C289" t="s">
        <v>56</v>
      </c>
      <c r="D289">
        <v>73</v>
      </c>
      <c r="E289" t="s">
        <v>35</v>
      </c>
      <c r="F289" t="s">
        <v>36</v>
      </c>
      <c r="G289" t="s">
        <v>356</v>
      </c>
      <c r="H289" s="2">
        <v>46157</v>
      </c>
      <c r="I289" s="2">
        <v>46161</v>
      </c>
      <c r="J289" t="s">
        <v>357</v>
      </c>
      <c r="K289" t="s">
        <v>48</v>
      </c>
      <c r="L289">
        <v>6404</v>
      </c>
      <c r="M289" t="s">
        <v>354</v>
      </c>
      <c r="N289" t="s">
        <v>39</v>
      </c>
      <c r="O289" t="str">
        <f>IF(AND(Table1_1[[#This Row],[Age]]&gt;=60,Table1_1[[#This Row],[Insurance Status]]="Insured"),"senior Eligible","Not Eligible")</f>
        <v>Not Eligible</v>
      </c>
      <c r="P289" t="str">
        <f>IF(OR(Table1_1[[#This Row],[Treatment Cost]]&gt;=20000,Table1_1[[#This Row],[Room Type]]="ICU"),"High Cost","Normal Cost")</f>
        <v>High Cost</v>
      </c>
      <c r="Q289" t="str">
        <f>IF(Table1_1[[#This Row],[Age]]&lt;=18,"Child",IF(Table1_1[[#This Row],[Age]]&lt;=59,"Adult",IF(Table1_1[[#This Row],[Age]]&gt;=60,"Senior")))</f>
        <v>Senior</v>
      </c>
    </row>
    <row r="290" spans="1:17" x14ac:dyDescent="0.25">
      <c r="A290" t="s">
        <v>293</v>
      </c>
      <c r="B290" t="s">
        <v>363</v>
      </c>
      <c r="C290" t="s">
        <v>41</v>
      </c>
      <c r="D290">
        <v>36</v>
      </c>
      <c r="E290" t="s">
        <v>27</v>
      </c>
      <c r="F290" t="s">
        <v>36</v>
      </c>
      <c r="G290" t="s">
        <v>352</v>
      </c>
      <c r="H290" s="2">
        <v>46094</v>
      </c>
      <c r="I290" s="2">
        <v>46095</v>
      </c>
      <c r="J290" t="s">
        <v>357</v>
      </c>
      <c r="K290" t="s">
        <v>37</v>
      </c>
      <c r="L290">
        <v>6026</v>
      </c>
      <c r="M290" t="s">
        <v>358</v>
      </c>
      <c r="N290" t="s">
        <v>44</v>
      </c>
      <c r="O290" t="str">
        <f>IF(AND(Table1_1[[#This Row],[Age]]&gt;=60,Table1_1[[#This Row],[Insurance Status]]="Insured"),"senior Eligible","Not Eligible")</f>
        <v>Not Eligible</v>
      </c>
      <c r="P290" t="str">
        <f>IF(OR(Table1_1[[#This Row],[Treatment Cost]]&gt;=20000,Table1_1[[#This Row],[Room Type]]="ICU"),"High Cost","Normal Cost")</f>
        <v>Normal Cost</v>
      </c>
      <c r="Q290" t="str">
        <f>IF(Table1_1[[#This Row],[Age]]&lt;=18,"Child",IF(Table1_1[[#This Row],[Age]]&lt;=59,"Adult",IF(Table1_1[[#This Row],[Age]]&gt;=60,"Senior")))</f>
        <v>Adult</v>
      </c>
    </row>
    <row r="291" spans="1:17" x14ac:dyDescent="0.25">
      <c r="A291" t="s">
        <v>163</v>
      </c>
      <c r="B291" t="s">
        <v>351</v>
      </c>
      <c r="C291" t="s">
        <v>41</v>
      </c>
      <c r="D291">
        <v>37</v>
      </c>
      <c r="E291" t="s">
        <v>27</v>
      </c>
      <c r="F291" t="s">
        <v>36</v>
      </c>
      <c r="G291" t="s">
        <v>352</v>
      </c>
      <c r="H291" s="2">
        <v>46197</v>
      </c>
      <c r="I291" s="2">
        <v>46201</v>
      </c>
      <c r="J291" t="s">
        <v>357</v>
      </c>
      <c r="K291" t="s">
        <v>31</v>
      </c>
      <c r="L291">
        <v>5620</v>
      </c>
      <c r="M291" t="s">
        <v>354</v>
      </c>
      <c r="N291" t="s">
        <v>23</v>
      </c>
      <c r="O291" t="str">
        <f>IF(AND(Table1_1[[#This Row],[Age]]&gt;=60,Table1_1[[#This Row],[Insurance Status]]="Insured"),"senior Eligible","Not Eligible")</f>
        <v>Not Eligible</v>
      </c>
      <c r="P291" t="str">
        <f>IF(OR(Table1_1[[#This Row],[Treatment Cost]]&gt;=20000,Table1_1[[#This Row],[Room Type]]="ICU"),"High Cost","Normal Cost")</f>
        <v>Normal Cost</v>
      </c>
      <c r="Q291" t="str">
        <f>IF(Table1_1[[#This Row],[Age]]&lt;=18,"Child",IF(Table1_1[[#This Row],[Age]]&lt;=59,"Adult",IF(Table1_1[[#This Row],[Age]]&gt;=60,"Senior")))</f>
        <v>Adult</v>
      </c>
    </row>
    <row r="292" spans="1:17" x14ac:dyDescent="0.25">
      <c r="A292" t="s">
        <v>171</v>
      </c>
      <c r="B292" t="s">
        <v>355</v>
      </c>
      <c r="C292" t="s">
        <v>41</v>
      </c>
      <c r="D292">
        <v>40</v>
      </c>
      <c r="E292" t="s">
        <v>47</v>
      </c>
      <c r="F292" t="s">
        <v>36</v>
      </c>
      <c r="G292" t="s">
        <v>54</v>
      </c>
      <c r="H292" s="2">
        <v>46193</v>
      </c>
      <c r="I292" s="2">
        <v>46195</v>
      </c>
      <c r="J292" t="s">
        <v>362</v>
      </c>
      <c r="K292" t="s">
        <v>48</v>
      </c>
      <c r="L292">
        <v>4558</v>
      </c>
      <c r="M292" t="s">
        <v>358</v>
      </c>
      <c r="N292" t="s">
        <v>39</v>
      </c>
      <c r="O292" t="str">
        <f>IF(AND(Table1_1[[#This Row],[Age]]&gt;=60,Table1_1[[#This Row],[Insurance Status]]="Insured"),"senior Eligible","Not Eligible")</f>
        <v>Not Eligible</v>
      </c>
      <c r="P292" t="str">
        <f>IF(OR(Table1_1[[#This Row],[Treatment Cost]]&gt;=20000,Table1_1[[#This Row],[Room Type]]="ICU"),"High Cost","Normal Cost")</f>
        <v>High Cost</v>
      </c>
      <c r="Q292" t="str">
        <f>IF(Table1_1[[#This Row],[Age]]&lt;=18,"Child",IF(Table1_1[[#This Row],[Age]]&lt;=59,"Adult",IF(Table1_1[[#This Row],[Age]]&gt;=60,"Senior")))</f>
        <v>Adult</v>
      </c>
    </row>
    <row r="293" spans="1:17" x14ac:dyDescent="0.25">
      <c r="A293" t="s">
        <v>334</v>
      </c>
      <c r="B293" t="s">
        <v>363</v>
      </c>
      <c r="C293" t="s">
        <v>41</v>
      </c>
      <c r="D293">
        <v>38</v>
      </c>
      <c r="E293" t="s">
        <v>17</v>
      </c>
      <c r="F293" t="s">
        <v>36</v>
      </c>
      <c r="G293" t="s">
        <v>360</v>
      </c>
      <c r="H293" s="2">
        <v>46109</v>
      </c>
      <c r="I293" s="2">
        <v>46113</v>
      </c>
      <c r="J293" t="s">
        <v>357</v>
      </c>
      <c r="K293" t="s">
        <v>48</v>
      </c>
      <c r="L293">
        <v>4493</v>
      </c>
      <c r="M293" t="s">
        <v>354</v>
      </c>
      <c r="N293" t="s">
        <v>39</v>
      </c>
      <c r="O293" t="str">
        <f>IF(AND(Table1_1[[#This Row],[Age]]&gt;=60,Table1_1[[#This Row],[Insurance Status]]="Insured"),"senior Eligible","Not Eligible")</f>
        <v>Not Eligible</v>
      </c>
      <c r="P293" t="str">
        <f>IF(OR(Table1_1[[#This Row],[Treatment Cost]]&gt;=20000,Table1_1[[#This Row],[Room Type]]="ICU"),"High Cost","Normal Cost")</f>
        <v>High Cost</v>
      </c>
      <c r="Q293" t="str">
        <f>IF(Table1_1[[#This Row],[Age]]&lt;=18,"Child",IF(Table1_1[[#This Row],[Age]]&lt;=59,"Adult",IF(Table1_1[[#This Row],[Age]]&gt;=60,"Senior")))</f>
        <v>Adult</v>
      </c>
    </row>
    <row r="294" spans="1:17" x14ac:dyDescent="0.25">
      <c r="A294" t="s">
        <v>67</v>
      </c>
      <c r="B294" t="s">
        <v>363</v>
      </c>
      <c r="C294" t="s">
        <v>56</v>
      </c>
      <c r="D294">
        <v>27</v>
      </c>
      <c r="E294" t="s">
        <v>47</v>
      </c>
      <c r="F294" t="s">
        <v>36</v>
      </c>
      <c r="G294" t="s">
        <v>352</v>
      </c>
      <c r="H294" s="2">
        <v>46097</v>
      </c>
      <c r="I294" s="2">
        <v>46106</v>
      </c>
      <c r="J294" t="s">
        <v>357</v>
      </c>
      <c r="K294" t="s">
        <v>31</v>
      </c>
      <c r="L294">
        <v>3918</v>
      </c>
      <c r="M294" t="s">
        <v>354</v>
      </c>
      <c r="N294" t="s">
        <v>39</v>
      </c>
      <c r="O294" t="str">
        <f>IF(AND(Table1_1[[#This Row],[Age]]&gt;=60,Table1_1[[#This Row],[Insurance Status]]="Insured"),"senior Eligible","Not Eligible")</f>
        <v>Not Eligible</v>
      </c>
      <c r="P294" t="str">
        <f>IF(OR(Table1_1[[#This Row],[Treatment Cost]]&gt;=20000,Table1_1[[#This Row],[Room Type]]="ICU"),"High Cost","Normal Cost")</f>
        <v>High Cost</v>
      </c>
      <c r="Q294" t="str">
        <f>IF(Table1_1[[#This Row],[Age]]&lt;=18,"Child",IF(Table1_1[[#This Row],[Age]]&lt;=59,"Adult",IF(Table1_1[[#This Row],[Age]]&gt;=60,"Senior")))</f>
        <v>Adult</v>
      </c>
    </row>
    <row r="295" spans="1:17" x14ac:dyDescent="0.25">
      <c r="A295" t="s">
        <v>312</v>
      </c>
      <c r="B295" t="s">
        <v>359</v>
      </c>
      <c r="C295" t="s">
        <v>56</v>
      </c>
      <c r="D295">
        <v>76</v>
      </c>
      <c r="E295" t="s">
        <v>17</v>
      </c>
      <c r="F295" t="s">
        <v>36</v>
      </c>
      <c r="G295" t="s">
        <v>54</v>
      </c>
      <c r="H295" s="2">
        <v>46168</v>
      </c>
      <c r="I295" s="2">
        <v>46169</v>
      </c>
      <c r="J295" t="s">
        <v>357</v>
      </c>
      <c r="K295" t="s">
        <v>31</v>
      </c>
      <c r="L295">
        <v>3742</v>
      </c>
      <c r="M295" t="s">
        <v>354</v>
      </c>
      <c r="N295" t="s">
        <v>44</v>
      </c>
      <c r="O295" t="str">
        <f>IF(AND(Table1_1[[#This Row],[Age]]&gt;=60,Table1_1[[#This Row],[Insurance Status]]="Insured"),"senior Eligible","Not Eligible")</f>
        <v>Not Eligible</v>
      </c>
      <c r="P295" t="str">
        <f>IF(OR(Table1_1[[#This Row],[Treatment Cost]]&gt;=20000,Table1_1[[#This Row],[Room Type]]="ICU"),"High Cost","Normal Cost")</f>
        <v>Normal Cost</v>
      </c>
      <c r="Q295" t="str">
        <f>IF(Table1_1[[#This Row],[Age]]&lt;=18,"Child",IF(Table1_1[[#This Row],[Age]]&lt;=59,"Adult",IF(Table1_1[[#This Row],[Age]]&gt;=60,"Senior")))</f>
        <v>Senior</v>
      </c>
    </row>
    <row r="296" spans="1:17" x14ac:dyDescent="0.25">
      <c r="A296" t="s">
        <v>328</v>
      </c>
      <c r="B296" t="s">
        <v>351</v>
      </c>
      <c r="C296" t="s">
        <v>41</v>
      </c>
      <c r="D296">
        <v>46</v>
      </c>
      <c r="E296" t="s">
        <v>17</v>
      </c>
      <c r="F296" t="s">
        <v>36</v>
      </c>
      <c r="G296" t="s">
        <v>360</v>
      </c>
      <c r="H296" s="2">
        <v>46109</v>
      </c>
      <c r="I296" s="2">
        <v>46116</v>
      </c>
      <c r="J296" t="s">
        <v>362</v>
      </c>
      <c r="K296" t="s">
        <v>31</v>
      </c>
      <c r="L296">
        <v>2800</v>
      </c>
      <c r="M296" t="s">
        <v>354</v>
      </c>
      <c r="N296" t="s">
        <v>39</v>
      </c>
      <c r="O296" t="str">
        <f>IF(AND(Table1_1[[#This Row],[Age]]&gt;=60,Table1_1[[#This Row],[Insurance Status]]="Insured"),"senior Eligible","Not Eligible")</f>
        <v>Not Eligible</v>
      </c>
      <c r="P296" t="str">
        <f>IF(OR(Table1_1[[#This Row],[Treatment Cost]]&gt;=20000,Table1_1[[#This Row],[Room Type]]="ICU"),"High Cost","Normal Cost")</f>
        <v>High Cost</v>
      </c>
      <c r="Q296" t="str">
        <f>IF(Table1_1[[#This Row],[Age]]&lt;=18,"Child",IF(Table1_1[[#This Row],[Age]]&lt;=59,"Adult",IF(Table1_1[[#This Row],[Age]]&gt;=60,"Senior")))</f>
        <v>Adult</v>
      </c>
    </row>
    <row r="297" spans="1:17" x14ac:dyDescent="0.25">
      <c r="A297" t="s">
        <v>142</v>
      </c>
      <c r="B297" t="s">
        <v>361</v>
      </c>
      <c r="C297" t="s">
        <v>41</v>
      </c>
      <c r="D297">
        <v>80</v>
      </c>
      <c r="E297" t="s">
        <v>17</v>
      </c>
      <c r="F297" t="s">
        <v>36</v>
      </c>
      <c r="G297" t="s">
        <v>54</v>
      </c>
      <c r="H297" s="2">
        <v>46120</v>
      </c>
      <c r="I297" s="2">
        <v>46122</v>
      </c>
      <c r="J297" t="s">
        <v>353</v>
      </c>
      <c r="K297" t="s">
        <v>37</v>
      </c>
      <c r="L297">
        <v>2628</v>
      </c>
      <c r="M297" t="s">
        <v>358</v>
      </c>
      <c r="N297" t="s">
        <v>23</v>
      </c>
      <c r="O297" t="str">
        <f>IF(AND(Table1_1[[#This Row],[Age]]&gt;=60,Table1_1[[#This Row],[Insurance Status]]="Insured"),"senior Eligible","Not Eligible")</f>
        <v>senior Eligible</v>
      </c>
      <c r="P297" t="str">
        <f>IF(OR(Table1_1[[#This Row],[Treatment Cost]]&gt;=20000,Table1_1[[#This Row],[Room Type]]="ICU"),"High Cost","Normal Cost")</f>
        <v>Normal Cost</v>
      </c>
      <c r="Q297" t="str">
        <f>IF(Table1_1[[#This Row],[Age]]&lt;=18,"Child",IF(Table1_1[[#This Row],[Age]]&lt;=59,"Adult",IF(Table1_1[[#This Row],[Age]]&gt;=60,"Senior")))</f>
        <v>Senior</v>
      </c>
    </row>
  </sheetData>
  <scenarios current="0" show="0">
    <scenario name="10%" locked="1" count="1" user="DELL" comment="Created by DELL on 7/26/2026">
      <inputCells r="L205" val="49958"/>
    </scenario>
  </scenarios>
  <phoneticPr fontId="1" type="noConversion"/>
  <conditionalFormatting sqref="L1:L297">
    <cfRule type="cellIs" dxfId="6" priority="4" operator="greaterThan">
      <formula>25000</formula>
    </cfRule>
  </conditionalFormatting>
  <conditionalFormatting sqref="M1:M297 L298:L1048576">
    <cfRule type="containsText" dxfId="5" priority="3" operator="containsText" text="not insured">
      <formula>NOT(ISERROR(SEARCH("not insured",L1)))</formula>
    </cfRule>
  </conditionalFormatting>
  <conditionalFormatting sqref="M2">
    <cfRule type="containsText" dxfId="4" priority="2" operator="containsText" text="Not Insured">
      <formula>NOT(ISERROR(SEARCH("Not Insured",M2)))</formula>
    </cfRule>
  </conditionalFormatting>
  <conditionalFormatting sqref="L2:L297">
    <cfRule type="cellIs" dxfId="0" priority="1" operator="greaterThan">
      <formula>25000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04CE-210F-4EE7-892A-EF2D79721DDA}">
  <sheetPr>
    <outlinePr summaryBelow="0"/>
  </sheetPr>
  <dimension ref="B1:F11"/>
  <sheetViews>
    <sheetView showGridLines="0" workbookViewId="0">
      <selection activeCell="E3" sqref="E3"/>
    </sheetView>
  </sheetViews>
  <sheetFormatPr defaultRowHeight="15" outlineLevelRow="1" outlineLevelCol="1" x14ac:dyDescent="0.25"/>
  <cols>
    <col min="3" max="3" width="5.1406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5" t="s">
        <v>388</v>
      </c>
      <c r="C2" s="5"/>
      <c r="D2" s="10"/>
      <c r="E2" s="10"/>
      <c r="F2" s="10"/>
    </row>
    <row r="3" spans="2:6" ht="15.75" collapsed="1" x14ac:dyDescent="0.25">
      <c r="B3" s="4"/>
      <c r="C3" s="4"/>
      <c r="D3" s="11" t="s">
        <v>390</v>
      </c>
      <c r="E3" s="11">
        <v>10</v>
      </c>
      <c r="F3" s="11">
        <v>20</v>
      </c>
    </row>
    <row r="4" spans="2:6" ht="22.5" hidden="1" outlineLevel="1" x14ac:dyDescent="0.25">
      <c r="B4" s="7"/>
      <c r="C4" s="7"/>
      <c r="E4" s="13" t="s">
        <v>387</v>
      </c>
      <c r="F4" s="13" t="s">
        <v>387</v>
      </c>
    </row>
    <row r="5" spans="2:6" x14ac:dyDescent="0.25">
      <c r="B5" s="8" t="s">
        <v>389</v>
      </c>
      <c r="C5" s="8"/>
      <c r="D5" s="6"/>
      <c r="E5" s="6"/>
      <c r="F5" s="6"/>
    </row>
    <row r="6" spans="2:6" outlineLevel="1" x14ac:dyDescent="0.25">
      <c r="B6" s="7"/>
      <c r="C6" s="7" t="s">
        <v>385</v>
      </c>
      <c r="D6">
        <v>20</v>
      </c>
      <c r="E6" s="12">
        <v>10</v>
      </c>
      <c r="F6" s="12">
        <v>20</v>
      </c>
    </row>
    <row r="7" spans="2:6" x14ac:dyDescent="0.25">
      <c r="B7" s="8" t="s">
        <v>391</v>
      </c>
      <c r="C7" s="8"/>
      <c r="D7" s="6"/>
      <c r="E7" s="6"/>
      <c r="F7" s="6"/>
    </row>
    <row r="8" spans="2:6" ht="15.75" outlineLevel="1" thickBot="1" x14ac:dyDescent="0.3">
      <c r="B8" s="9"/>
      <c r="C8" s="9" t="s">
        <v>386</v>
      </c>
      <c r="D8" s="3">
        <v>156365958</v>
      </c>
      <c r="E8" s="3">
        <v>81905978</v>
      </c>
      <c r="F8" s="3">
        <v>156365958</v>
      </c>
    </row>
    <row r="9" spans="2:6" x14ac:dyDescent="0.25">
      <c r="B9" t="s">
        <v>392</v>
      </c>
    </row>
    <row r="10" spans="2:6" x14ac:dyDescent="0.25">
      <c r="B10" t="s">
        <v>393</v>
      </c>
    </row>
    <row r="11" spans="2:6" x14ac:dyDescent="0.25">
      <c r="B11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07D1-6DEC-4665-8327-02BB535A8BFB}">
  <dimension ref="A1:C2"/>
  <sheetViews>
    <sheetView workbookViewId="0">
      <selection activeCell="C2" sqref="C2"/>
    </sheetView>
  </sheetViews>
  <sheetFormatPr defaultRowHeight="15" x14ac:dyDescent="0.25"/>
  <cols>
    <col min="1" max="1" width="22" customWidth="1"/>
    <col min="2" max="2" width="21" customWidth="1"/>
    <col min="3" max="3" width="10.5703125" customWidth="1"/>
  </cols>
  <sheetData>
    <row r="1" spans="1:3" x14ac:dyDescent="0.25">
      <c r="A1" t="s">
        <v>382</v>
      </c>
      <c r="B1" t="s">
        <v>383</v>
      </c>
      <c r="C1" t="s">
        <v>384</v>
      </c>
    </row>
    <row r="2" spans="1:3" x14ac:dyDescent="0.25">
      <c r="A2">
        <f>SUM(Table1_1[Treatment Cost])</f>
        <v>7445998</v>
      </c>
      <c r="B2">
        <v>20</v>
      </c>
      <c r="C2">
        <f>Table3[[#This Row],[Total Treatment  Cost]]*(1+Table3[[#This Row],[Percentage Increase]])</f>
        <v>156365958</v>
      </c>
    </row>
  </sheetData>
  <scenarios current="0" show="1" sqref="C2">
    <scenario name="10" locked="1" count="1" user="nano" comment="Created by nano on 27/07/2026">
      <inputCells r="B2" val="10"/>
    </scenario>
    <scenario name="20" locked="1" count="1" user="nano" comment="Created by nano on 27/07/2026">
      <inputCells r="B2" val="20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5" x14ac:dyDescent="0.25"/>
  <cols>
    <col min="1" max="1" width="11.85546875" customWidth="1"/>
    <col min="2" max="2" width="15.28515625" customWidth="1"/>
    <col min="3" max="3" width="9.85546875" customWidth="1"/>
    <col min="5" max="5" width="14.28515625" customWidth="1"/>
    <col min="6" max="6" width="13.85546875" customWidth="1"/>
    <col min="7" max="7" width="14.7109375" customWidth="1"/>
    <col min="8" max="8" width="17" customWidth="1"/>
    <col min="9" max="9" width="16.28515625" customWidth="1"/>
    <col min="11" max="11" width="11.5703125" customWidth="1"/>
    <col min="12" max="12" width="16.7109375" customWidth="1"/>
    <col min="13" max="13" width="17.5703125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25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25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25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25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25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25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25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25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25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25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25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25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25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25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25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25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25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25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25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25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25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25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25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25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25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25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25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25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25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25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25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25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25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25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25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25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25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25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25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25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25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25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25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25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25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25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25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25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25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25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25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25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25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25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25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25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25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25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25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25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25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25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25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25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25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25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25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25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25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25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25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25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25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25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25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25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25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25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25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25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25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25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25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25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25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25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25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25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25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25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25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25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25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25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25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25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25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25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25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25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25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25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25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25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25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25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25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25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25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25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25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25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25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25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25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25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25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25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25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25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25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25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25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25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25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25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25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25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25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25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25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25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25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25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25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25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25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25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25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25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25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25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25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25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25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25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25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25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25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25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25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25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25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25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25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25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25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25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25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25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25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25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25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25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25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25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25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25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25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25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25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25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25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25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25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25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25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25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25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25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25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25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25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25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25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25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25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25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25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25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25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25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25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25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25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25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25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25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25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25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25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25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25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25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25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25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25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25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25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25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25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25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25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25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25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25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25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25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25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25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25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25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25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25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25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25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25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25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25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25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25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25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25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25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25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25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25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25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25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25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25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25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25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25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25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25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25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25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25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25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25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25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25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25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25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25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25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25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25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25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25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25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25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25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25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25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25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25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25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25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25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25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25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25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25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25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25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25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25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25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25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25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25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25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25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25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25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25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25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25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25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25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25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25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25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25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25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25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85FB1-436C-4A74-9B7D-13AD1E573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Scenario Summary</vt:lpstr>
      <vt:lpstr>Sheet1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nano</cp:lastModifiedBy>
  <dcterms:created xsi:type="dcterms:W3CDTF">2026-07-21T08:09:21Z</dcterms:created>
  <dcterms:modified xsi:type="dcterms:W3CDTF">2026-07-27T05:53:28Z</dcterms:modified>
</cp:coreProperties>
</file>